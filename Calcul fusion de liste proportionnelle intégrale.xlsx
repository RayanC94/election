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rayanyousfi/Downloads/election/"/>
    </mc:Choice>
  </mc:AlternateContent>
  <xr:revisionPtr revIDLastSave="0" documentId="13_ncr:1_{3B42CFCD-DF60-C843-95D9-3938F5B7022C}" xr6:coauthVersionLast="47" xr6:coauthVersionMax="47" xr10:uidLastSave="{00000000-0000-0000-0000-000000000000}"/>
  <bookViews>
    <workbookView xWindow="0" yWindow="760" windowWidth="28800" windowHeight="16180" xr2:uid="{00000000-000D-0000-FFFF-FFFF00000000}"/>
  </bookViews>
  <sheets>
    <sheet name="Résultats" sheetId="1" r:id="rId1"/>
    <sheet name="NE PAS TOUCHER  Calcul" sheetId="2" r:id="rId2"/>
  </sheets>
  <definedNames>
    <definedName name="scoreA1" localSheetId="1">'NE PAS TOUCHER  Calcul'!$B$11</definedName>
    <definedName name="scoreB1" localSheetId="1">'NE PAS TOUCHER  Calcul'!$C$11</definedName>
    <definedName name="scoreC" localSheetId="1">'NE PAS TOUCHER  Calcul'!$D$11</definedName>
    <definedName name="scoreC1" localSheetId="1">'NE PAS TOUCHER  Calcul'!$D$11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1" i="1" l="1"/>
  <c r="AZ14" i="2"/>
  <c r="AY14" i="2"/>
  <c r="AT14" i="2"/>
  <c r="AK14" i="2"/>
  <c r="AI14" i="2"/>
  <c r="AD14" i="2"/>
  <c r="AC14" i="2"/>
  <c r="T14" i="2"/>
  <c r="K14" i="2"/>
  <c r="D14" i="2"/>
  <c r="B14" i="2"/>
  <c r="B11" i="2" a="1"/>
  <c r="Q10" i="2"/>
  <c r="P10" i="2"/>
  <c r="O10" i="2"/>
  <c r="N10" i="2"/>
  <c r="L10" i="2"/>
  <c r="I10" i="2"/>
  <c r="H10" i="2"/>
  <c r="G10" i="2"/>
  <c r="F10" i="2"/>
  <c r="D10" i="2"/>
  <c r="V14" i="2" s="1"/>
  <c r="B10" i="2" a="1"/>
  <c r="K10" i="2" s="1"/>
  <c r="AT183" i="2" s="1"/>
  <c r="B10" i="2"/>
  <c r="AK183" i="2" s="1"/>
  <c r="B21" i="1"/>
  <c r="K6" i="1"/>
  <c r="G6" i="1"/>
  <c r="G7" i="1" s="1"/>
  <c r="M5" i="1"/>
  <c r="I5" i="1"/>
  <c r="O19" i="1"/>
  <c r="O18" i="1"/>
  <c r="O17" i="1"/>
  <c r="O16" i="1"/>
  <c r="O15" i="1"/>
  <c r="O11" i="1"/>
  <c r="O10" i="1"/>
  <c r="O9" i="1"/>
  <c r="O8" i="1"/>
  <c r="O7" i="1"/>
  <c r="O4" i="1" a="1"/>
  <c r="O14" i="1" s="1"/>
  <c r="O4" i="1"/>
  <c r="M6" i="1" l="1"/>
  <c r="K7" i="1"/>
  <c r="K8" i="1" s="1"/>
  <c r="K9" i="1" s="1"/>
  <c r="R11" i="2"/>
  <c r="R12" i="2" s="1"/>
  <c r="O11" i="2"/>
  <c r="O12" i="2" s="1"/>
  <c r="O17" i="2" s="1"/>
  <c r="N11" i="2"/>
  <c r="N12" i="2" s="1"/>
  <c r="N17" i="2" s="1"/>
  <c r="M11" i="2"/>
  <c r="M12" i="2" s="1"/>
  <c r="M17" i="2" s="1"/>
  <c r="L11" i="2"/>
  <c r="L12" i="2" s="1"/>
  <c r="L17" i="2" s="1"/>
  <c r="G11" i="2"/>
  <c r="G12" i="2" s="1"/>
  <c r="G17" i="2" s="1"/>
  <c r="F11" i="2"/>
  <c r="F12" i="2" s="1"/>
  <c r="F17" i="2" s="1"/>
  <c r="E11" i="2"/>
  <c r="E12" i="2" s="1"/>
  <c r="E17" i="2" s="1"/>
  <c r="D11" i="2"/>
  <c r="D12" i="2" s="1"/>
  <c r="D17" i="2" s="1"/>
  <c r="I6" i="1"/>
  <c r="I7" i="1" s="1"/>
  <c r="AP183" i="2"/>
  <c r="Y14" i="2"/>
  <c r="G14" i="2"/>
  <c r="AP14" i="2"/>
  <c r="M7" i="1"/>
  <c r="M8" i="1" s="1"/>
  <c r="G8" i="1"/>
  <c r="R17" i="2"/>
  <c r="AQ183" i="2"/>
  <c r="H14" i="2"/>
  <c r="Z14" i="2"/>
  <c r="AQ14" i="2"/>
  <c r="AR183" i="2"/>
  <c r="I14" i="2"/>
  <c r="AR14" i="2"/>
  <c r="AA14" i="2"/>
  <c r="AU183" i="2"/>
  <c r="AU14" i="2"/>
  <c r="AO183" i="2"/>
  <c r="AO14" i="2"/>
  <c r="X14" i="2"/>
  <c r="F14" i="2"/>
  <c r="AZ183" i="2"/>
  <c r="Q14" i="2"/>
  <c r="L14" i="2"/>
  <c r="O20" i="1"/>
  <c r="AW183" i="2"/>
  <c r="AW14" i="2"/>
  <c r="AF14" i="2"/>
  <c r="N14" i="2"/>
  <c r="O5" i="1"/>
  <c r="O13" i="1"/>
  <c r="AX183" i="2"/>
  <c r="AG14" i="2"/>
  <c r="O14" i="2"/>
  <c r="AX14" i="2"/>
  <c r="O12" i="1"/>
  <c r="O6" i="1"/>
  <c r="AM183" i="2"/>
  <c r="AM14" i="2"/>
  <c r="AY183" i="2"/>
  <c r="P14" i="2"/>
  <c r="AH14" i="2"/>
  <c r="E10" i="2"/>
  <c r="M10" i="2"/>
  <c r="C11" i="2"/>
  <c r="C12" i="2" s="1"/>
  <c r="K11" i="2"/>
  <c r="K12" i="2" s="1"/>
  <c r="J10" i="2"/>
  <c r="R10" i="2"/>
  <c r="H11" i="2"/>
  <c r="H12" i="2" s="1"/>
  <c r="P11" i="2"/>
  <c r="P12" i="2" s="1"/>
  <c r="C10" i="2"/>
  <c r="B11" i="2"/>
  <c r="B12" i="2" s="1"/>
  <c r="I11" i="2"/>
  <c r="I12" i="2" s="1"/>
  <c r="Q11" i="2"/>
  <c r="Q12" i="2" s="1"/>
  <c r="J11" i="2"/>
  <c r="J12" i="2" s="1"/>
  <c r="BA183" i="2" l="1"/>
  <c r="BA14" i="2"/>
  <c r="AJ14" i="2"/>
  <c r="R14" i="2"/>
  <c r="Q17" i="2"/>
  <c r="C17" i="2"/>
  <c r="H17" i="2"/>
  <c r="G9" i="1"/>
  <c r="I8" i="1"/>
  <c r="J17" i="2"/>
  <c r="AS183" i="2"/>
  <c r="AB14" i="2"/>
  <c r="J14" i="2"/>
  <c r="AS14" i="2"/>
  <c r="I17" i="2"/>
  <c r="K17" i="2"/>
  <c r="M9" i="1"/>
  <c r="K10" i="1"/>
  <c r="AV183" i="2"/>
  <c r="AV14" i="2"/>
  <c r="AE14" i="2"/>
  <c r="M14" i="2"/>
  <c r="B17" i="2"/>
  <c r="AL183" i="2"/>
  <c r="U14" i="2"/>
  <c r="AL14" i="2"/>
  <c r="C14" i="2"/>
  <c r="AN183" i="2"/>
  <c r="AN14" i="2"/>
  <c r="W14" i="2"/>
  <c r="E14" i="2"/>
  <c r="P17" i="2"/>
  <c r="G10" i="1" l="1"/>
  <c r="I9" i="1"/>
  <c r="S17" i="2"/>
  <c r="T17" i="2" s="1"/>
  <c r="M10" i="1"/>
  <c r="K11" i="1"/>
  <c r="AK17" i="2" l="1"/>
  <c r="B18" i="2" s="1"/>
  <c r="U17" i="2"/>
  <c r="AL17" i="2" s="1"/>
  <c r="C18" i="2" s="1"/>
  <c r="BB17" i="2"/>
  <c r="G11" i="1"/>
  <c r="I10" i="1"/>
  <c r="K12" i="1"/>
  <c r="M11" i="1"/>
  <c r="H5" i="1" l="1"/>
  <c r="L5" i="1"/>
  <c r="M12" i="1"/>
  <c r="K13" i="1"/>
  <c r="G12" i="1"/>
  <c r="I11" i="1"/>
  <c r="V17" i="2"/>
  <c r="AM17" i="2" l="1"/>
  <c r="D18" i="2" s="1"/>
  <c r="W17" i="2"/>
  <c r="G13" i="1"/>
  <c r="I12" i="1"/>
  <c r="K14" i="1"/>
  <c r="M13" i="1"/>
  <c r="X17" i="2" l="1"/>
  <c r="AO17" i="2" s="1"/>
  <c r="F18" i="2" s="1"/>
  <c r="Y17" i="2"/>
  <c r="AP17" i="2" s="1"/>
  <c r="G18" i="2" s="1"/>
  <c r="Z17" i="2"/>
  <c r="AQ17" i="2" s="1"/>
  <c r="H18" i="2" s="1"/>
  <c r="AN17" i="2"/>
  <c r="E18" i="2" s="1"/>
  <c r="G14" i="1"/>
  <c r="I13" i="1"/>
  <c r="M14" i="1"/>
  <c r="K15" i="1"/>
  <c r="G15" i="1" l="1"/>
  <c r="I14" i="1"/>
  <c r="AA17" i="2"/>
  <c r="K16" i="1"/>
  <c r="M15" i="1"/>
  <c r="AR17" i="2" l="1"/>
  <c r="I18" i="2" s="1"/>
  <c r="AB17" i="2"/>
  <c r="K17" i="1"/>
  <c r="M16" i="1"/>
  <c r="G16" i="1"/>
  <c r="I15" i="1"/>
  <c r="AS17" i="2" l="1"/>
  <c r="J18" i="2" s="1"/>
  <c r="AC17" i="2"/>
  <c r="AT17" i="2" s="1"/>
  <c r="K18" i="2" s="1"/>
  <c r="M17" i="1"/>
  <c r="K18" i="1"/>
  <c r="G17" i="1"/>
  <c r="I16" i="1"/>
  <c r="G18" i="1" l="1"/>
  <c r="I17" i="1"/>
  <c r="K19" i="1"/>
  <c r="M18" i="1"/>
  <c r="AD17" i="2"/>
  <c r="AU17" i="2" l="1"/>
  <c r="L18" i="2" s="1"/>
  <c r="AE17" i="2"/>
  <c r="K20" i="1"/>
  <c r="M19" i="1"/>
  <c r="G19" i="1"/>
  <c r="I18" i="1"/>
  <c r="AV17" i="2" l="1"/>
  <c r="M18" i="2" s="1"/>
  <c r="AF17" i="2"/>
  <c r="AW17" i="2"/>
  <c r="N18" i="2" s="1"/>
  <c r="AG17" i="2"/>
  <c r="G20" i="1"/>
  <c r="I19" i="1"/>
  <c r="M20" i="1"/>
  <c r="K21" i="1"/>
  <c r="AH17" i="2" l="1"/>
  <c r="AX17" i="2"/>
  <c r="O18" i="2" s="1"/>
  <c r="G21" i="1"/>
  <c r="I20" i="1"/>
  <c r="M21" i="1"/>
  <c r="K22" i="1"/>
  <c r="AY17" i="2" l="1"/>
  <c r="P18" i="2" s="1"/>
  <c r="AI17" i="2"/>
  <c r="M22" i="1"/>
  <c r="K23" i="1"/>
  <c r="G22" i="1"/>
  <c r="I21" i="1"/>
  <c r="AJ17" i="2" l="1"/>
  <c r="BA17" i="2" s="1"/>
  <c r="R18" i="2" s="1"/>
  <c r="AZ17" i="2"/>
  <c r="Q18" i="2" s="1"/>
  <c r="K24" i="1"/>
  <c r="M23" i="1"/>
  <c r="G23" i="1"/>
  <c r="I22" i="1"/>
  <c r="S18" i="2" l="1"/>
  <c r="T18" i="2" s="1"/>
  <c r="K25" i="1"/>
  <c r="M24" i="1"/>
  <c r="I23" i="1"/>
  <c r="G24" i="1"/>
  <c r="BB18" i="2" l="1"/>
  <c r="U18" i="2"/>
  <c r="AK18" i="2"/>
  <c r="B19" i="2" s="1"/>
  <c r="V18" i="2"/>
  <c r="AM18" i="2" s="1"/>
  <c r="D19" i="2" s="1"/>
  <c r="AL18" i="2"/>
  <c r="C19" i="2" s="1"/>
  <c r="L6" i="1"/>
  <c r="H6" i="1"/>
  <c r="W18" i="2"/>
  <c r="I24" i="1"/>
  <c r="G25" i="1"/>
  <c r="M25" i="1"/>
  <c r="K26" i="1"/>
  <c r="AN18" i="2" l="1"/>
  <c r="E19" i="2" s="1"/>
  <c r="X18" i="2"/>
  <c r="G26" i="1"/>
  <c r="I25" i="1"/>
  <c r="M26" i="1"/>
  <c r="K27" i="1"/>
  <c r="AO18" i="2" l="1"/>
  <c r="F19" i="2" s="1"/>
  <c r="Y18" i="2"/>
  <c r="K28" i="1"/>
  <c r="M27" i="1"/>
  <c r="G27" i="1"/>
  <c r="I26" i="1"/>
  <c r="AP18" i="2" l="1"/>
  <c r="G19" i="2" s="1"/>
  <c r="Z18" i="2"/>
  <c r="K29" i="1"/>
  <c r="M28" i="1"/>
  <c r="I27" i="1"/>
  <c r="G28" i="1"/>
  <c r="AQ18" i="2" l="1"/>
  <c r="H19" i="2" s="1"/>
  <c r="AA18" i="2"/>
  <c r="M29" i="1"/>
  <c r="K30" i="1"/>
  <c r="I28" i="1"/>
  <c r="G29" i="1"/>
  <c r="AR18" i="2" l="1"/>
  <c r="I19" i="2" s="1"/>
  <c r="AB18" i="2"/>
  <c r="K31" i="1"/>
  <c r="M30" i="1"/>
  <c r="G30" i="1"/>
  <c r="I29" i="1"/>
  <c r="AC18" i="2" l="1"/>
  <c r="AS18" i="2"/>
  <c r="J19" i="2" s="1"/>
  <c r="G31" i="1"/>
  <c r="I30" i="1"/>
  <c r="K32" i="1"/>
  <c r="M31" i="1"/>
  <c r="AD18" i="2" l="1"/>
  <c r="AT18" i="2"/>
  <c r="K19" i="2" s="1"/>
  <c r="K33" i="1"/>
  <c r="M32" i="1"/>
  <c r="I31" i="1"/>
  <c r="G32" i="1"/>
  <c r="AU18" i="2" l="1"/>
  <c r="L19" i="2" s="1"/>
  <c r="AE18" i="2"/>
  <c r="M33" i="1"/>
  <c r="K34" i="1"/>
  <c r="I32" i="1"/>
  <c r="G33" i="1"/>
  <c r="AV18" i="2" l="1"/>
  <c r="M19" i="2" s="1"/>
  <c r="AF18" i="2"/>
  <c r="M34" i="1"/>
  <c r="K35" i="1"/>
  <c r="G34" i="1"/>
  <c r="I33" i="1"/>
  <c r="AW18" i="2" l="1"/>
  <c r="N19" i="2" s="1"/>
  <c r="AG18" i="2"/>
  <c r="G35" i="1"/>
  <c r="I34" i="1"/>
  <c r="K36" i="1"/>
  <c r="M35" i="1"/>
  <c r="AX18" i="2" l="1"/>
  <c r="O19" i="2" s="1"/>
  <c r="AH18" i="2"/>
  <c r="K37" i="1"/>
  <c r="M36" i="1"/>
  <c r="I35" i="1"/>
  <c r="G36" i="1"/>
  <c r="AY18" i="2" l="1"/>
  <c r="P19" i="2" s="1"/>
  <c r="AI18" i="2"/>
  <c r="I36" i="1"/>
  <c r="G37" i="1"/>
  <c r="M37" i="1"/>
  <c r="K38" i="1"/>
  <c r="AZ18" i="2" l="1"/>
  <c r="Q19" i="2" s="1"/>
  <c r="AJ18" i="2"/>
  <c r="BA18" i="2" s="1"/>
  <c r="R19" i="2" s="1"/>
  <c r="S19" i="2" s="1"/>
  <c r="T19" i="2" s="1"/>
  <c r="M38" i="1"/>
  <c r="K39" i="1"/>
  <c r="G38" i="1"/>
  <c r="I37" i="1"/>
  <c r="U19" i="2" l="1"/>
  <c r="BB19" i="2" s="1"/>
  <c r="AK19" i="2"/>
  <c r="B20" i="2" s="1"/>
  <c r="K40" i="1"/>
  <c r="M39" i="1"/>
  <c r="G39" i="1"/>
  <c r="I38" i="1"/>
  <c r="H7" i="1" l="1"/>
  <c r="L7" i="1"/>
  <c r="AL19" i="2"/>
  <c r="C20" i="2" s="1"/>
  <c r="V19" i="2"/>
  <c r="I39" i="1"/>
  <c r="G40" i="1"/>
  <c r="M40" i="1"/>
  <c r="K41" i="1"/>
  <c r="W19" i="2" l="1"/>
  <c r="AM19" i="2"/>
  <c r="D20" i="2" s="1"/>
  <c r="M41" i="1"/>
  <c r="K42" i="1"/>
  <c r="I40" i="1"/>
  <c r="G41" i="1"/>
  <c r="AN19" i="2" l="1"/>
  <c r="E20" i="2" s="1"/>
  <c r="X19" i="2"/>
  <c r="G42" i="1"/>
  <c r="I41" i="1"/>
  <c r="M42" i="1"/>
  <c r="K43" i="1"/>
  <c r="Y19" i="2" l="1"/>
  <c r="AO19" i="2"/>
  <c r="F20" i="2" s="1"/>
  <c r="G43" i="1"/>
  <c r="I42" i="1"/>
  <c r="K44" i="1"/>
  <c r="M43" i="1"/>
  <c r="Z19" i="2" l="1"/>
  <c r="AP19" i="2"/>
  <c r="G20" i="2" s="1"/>
  <c r="AA19" i="2"/>
  <c r="I43" i="1"/>
  <c r="G44" i="1"/>
  <c r="M44" i="1"/>
  <c r="K45" i="1"/>
  <c r="AQ19" i="2" l="1"/>
  <c r="H20" i="2" s="1"/>
  <c r="AR19" i="2"/>
  <c r="I20" i="2" s="1"/>
  <c r="AB19" i="2"/>
  <c r="M45" i="1"/>
  <c r="K46" i="1"/>
  <c r="I44" i="1"/>
  <c r="G45" i="1"/>
  <c r="AC19" i="2" l="1"/>
  <c r="AD19" i="2"/>
  <c r="AS19" i="2"/>
  <c r="J20" i="2" s="1"/>
  <c r="M46" i="1"/>
  <c r="K47" i="1"/>
  <c r="G46" i="1"/>
  <c r="I45" i="1"/>
  <c r="AG19" i="2" l="1"/>
  <c r="AT19" i="2"/>
  <c r="K20" i="2" s="1"/>
  <c r="AU19" i="2"/>
  <c r="L20" i="2" s="1"/>
  <c r="AE19" i="2"/>
  <c r="AV19" i="2" s="1"/>
  <c r="M20" i="2" s="1"/>
  <c r="AF19" i="2"/>
  <c r="K48" i="1"/>
  <c r="M47" i="1"/>
  <c r="G47" i="1"/>
  <c r="I46" i="1"/>
  <c r="AX19" i="2" l="1"/>
  <c r="O20" i="2" s="1"/>
  <c r="AH19" i="2"/>
  <c r="AW19" i="2"/>
  <c r="N20" i="2" s="1"/>
  <c r="I47" i="1"/>
  <c r="K49" i="1"/>
  <c r="M48" i="1"/>
  <c r="AY19" i="2" l="1"/>
  <c r="P20" i="2" s="1"/>
  <c r="AI19" i="2"/>
  <c r="AZ19" i="2" s="1"/>
  <c r="Q20" i="2" s="1"/>
  <c r="AJ19" i="2"/>
  <c r="BA19" i="2" s="1"/>
  <c r="R20" i="2" s="1"/>
  <c r="S20" i="2" s="1"/>
  <c r="T20" i="2" s="1"/>
  <c r="M49" i="1"/>
  <c r="K50" i="1"/>
  <c r="U20" i="2" l="1"/>
  <c r="AK20" i="2"/>
  <c r="B21" i="2" s="1"/>
  <c r="BB20" i="2"/>
  <c r="G50" i="1"/>
  <c r="M50" i="1"/>
  <c r="K51" i="1"/>
  <c r="AL20" i="2" l="1"/>
  <c r="C21" i="2" s="1"/>
  <c r="H8" i="1"/>
  <c r="L8" i="1"/>
  <c r="V20" i="2"/>
  <c r="K52" i="1"/>
  <c r="M51" i="1"/>
  <c r="G51" i="1"/>
  <c r="I50" i="1"/>
  <c r="W20" i="2" l="1"/>
  <c r="X20" i="2" s="1"/>
  <c r="AM20" i="2"/>
  <c r="D21" i="2" s="1"/>
  <c r="I51" i="1"/>
  <c r="G52" i="1"/>
  <c r="K53" i="1"/>
  <c r="M52" i="1"/>
  <c r="AN20" i="2" l="1"/>
  <c r="E21" i="2" s="1"/>
  <c r="Y20" i="2"/>
  <c r="AO20" i="2"/>
  <c r="F21" i="2" s="1"/>
  <c r="I52" i="1"/>
  <c r="G53" i="1"/>
  <c r="M53" i="1"/>
  <c r="K54" i="1"/>
  <c r="Z20" i="2" l="1"/>
  <c r="AP20" i="2"/>
  <c r="G21" i="2" s="1"/>
  <c r="M54" i="1"/>
  <c r="K55" i="1"/>
  <c r="G54" i="1"/>
  <c r="I53" i="1"/>
  <c r="AA20" i="2" l="1"/>
  <c r="AQ20" i="2"/>
  <c r="H21" i="2" s="1"/>
  <c r="G55" i="1"/>
  <c r="I54" i="1"/>
  <c r="K56" i="1"/>
  <c r="M55" i="1"/>
  <c r="L55" i="1"/>
  <c r="AB20" i="2" l="1"/>
  <c r="AC20" i="2" s="1"/>
  <c r="AR20" i="2"/>
  <c r="I21" i="2" s="1"/>
  <c r="L56" i="1"/>
  <c r="K57" i="1"/>
  <c r="M56" i="1"/>
  <c r="I55" i="1"/>
  <c r="G56" i="1"/>
  <c r="AS20" i="2" l="1"/>
  <c r="J21" i="2" s="1"/>
  <c r="AD20" i="2"/>
  <c r="AT20" i="2"/>
  <c r="K21" i="2" s="1"/>
  <c r="M57" i="1"/>
  <c r="L57" i="1"/>
  <c r="K58" i="1"/>
  <c r="I56" i="1"/>
  <c r="G57" i="1"/>
  <c r="AU20" i="2" l="1"/>
  <c r="L21" i="2" s="1"/>
  <c r="AE20" i="2"/>
  <c r="K59" i="1"/>
  <c r="M58" i="1"/>
  <c r="L58" i="1"/>
  <c r="G58" i="1"/>
  <c r="I57" i="1"/>
  <c r="AV20" i="2" l="1"/>
  <c r="M21" i="2" s="1"/>
  <c r="AF20" i="2"/>
  <c r="AG20" i="2"/>
  <c r="K60" i="1"/>
  <c r="M59" i="1"/>
  <c r="L59" i="1"/>
  <c r="G59" i="1"/>
  <c r="I58" i="1"/>
  <c r="AH20" i="2" l="1"/>
  <c r="AI20" i="2" s="1"/>
  <c r="AZ20" i="2" s="1"/>
  <c r="Q21" i="2" s="1"/>
  <c r="AW20" i="2"/>
  <c r="N21" i="2" s="1"/>
  <c r="AX20" i="2"/>
  <c r="O21" i="2" s="1"/>
  <c r="I59" i="1"/>
  <c r="G60" i="1"/>
  <c r="L60" i="1"/>
  <c r="K61" i="1"/>
  <c r="M60" i="1"/>
  <c r="AJ20" i="2" l="1"/>
  <c r="BA20" i="2" s="1"/>
  <c r="R21" i="2" s="1"/>
  <c r="S21" i="2" s="1"/>
  <c r="T21" i="2" s="1"/>
  <c r="AY20" i="2"/>
  <c r="P21" i="2" s="1"/>
  <c r="I60" i="1"/>
  <c r="G61" i="1"/>
  <c r="M61" i="1"/>
  <c r="L61" i="1"/>
  <c r="K62" i="1"/>
  <c r="AK21" i="2" l="1"/>
  <c r="B22" i="2" s="1"/>
  <c r="U21" i="2"/>
  <c r="V21" i="2"/>
  <c r="AM21" i="2" s="1"/>
  <c r="D22" i="2" s="1"/>
  <c r="W21" i="2"/>
  <c r="AN21" i="2" s="1"/>
  <c r="E22" i="2" s="1"/>
  <c r="K63" i="1"/>
  <c r="M62" i="1"/>
  <c r="L62" i="1"/>
  <c r="G62" i="1"/>
  <c r="I61" i="1"/>
  <c r="AL21" i="2" l="1"/>
  <c r="C22" i="2" s="1"/>
  <c r="X21" i="2"/>
  <c r="BB21" i="2"/>
  <c r="G63" i="1"/>
  <c r="H62" i="1"/>
  <c r="I62" i="1"/>
  <c r="K64" i="1"/>
  <c r="M63" i="1"/>
  <c r="L63" i="1"/>
  <c r="Y21" i="2" l="1"/>
  <c r="Z21" i="2"/>
  <c r="AQ21" i="2" s="1"/>
  <c r="H22" i="2" s="1"/>
  <c r="AO21" i="2"/>
  <c r="F22" i="2" s="1"/>
  <c r="H9" i="1"/>
  <c r="L9" i="1"/>
  <c r="L64" i="1"/>
  <c r="M64" i="1"/>
  <c r="I63" i="1"/>
  <c r="H63" i="1"/>
  <c r="G64" i="1"/>
  <c r="AP21" i="2" l="1"/>
  <c r="G22" i="2" s="1"/>
  <c r="AA21" i="2"/>
  <c r="H64" i="1"/>
  <c r="I64" i="1"/>
  <c r="G65" i="1"/>
  <c r="AR21" i="2" l="1"/>
  <c r="I22" i="2" s="1"/>
  <c r="AB21" i="2"/>
  <c r="G66" i="1"/>
  <c r="H65" i="1"/>
  <c r="I65" i="1"/>
  <c r="AC21" i="2" l="1"/>
  <c r="AS21" i="2"/>
  <c r="J22" i="2" s="1"/>
  <c r="G67" i="1"/>
  <c r="I66" i="1"/>
  <c r="H66" i="1"/>
  <c r="AT21" i="2" l="1"/>
  <c r="K22" i="2" s="1"/>
  <c r="AD21" i="2"/>
  <c r="H67" i="1"/>
  <c r="G68" i="1"/>
  <c r="I67" i="1"/>
  <c r="AU21" i="2" l="1"/>
  <c r="L22" i="2" s="1"/>
  <c r="AE21" i="2"/>
  <c r="G69" i="1"/>
  <c r="I68" i="1"/>
  <c r="H68" i="1"/>
  <c r="AF21" i="2" l="1"/>
  <c r="AG21" i="2"/>
  <c r="AX21" i="2" s="1"/>
  <c r="O22" i="2" s="1"/>
  <c r="AV21" i="2"/>
  <c r="M22" i="2" s="1"/>
  <c r="I69" i="1"/>
  <c r="H69" i="1"/>
  <c r="G70" i="1"/>
  <c r="AH21" i="2" l="1"/>
  <c r="AW21" i="2"/>
  <c r="N22" i="2" s="1"/>
  <c r="G71" i="1"/>
  <c r="I70" i="1"/>
  <c r="H70" i="1"/>
  <c r="AI21" i="2" l="1"/>
  <c r="AY21" i="2"/>
  <c r="P22" i="2" s="1"/>
  <c r="G72" i="1"/>
  <c r="I71" i="1"/>
  <c r="H71" i="1"/>
  <c r="AJ21" i="2" l="1"/>
  <c r="BA21" i="2" s="1"/>
  <c r="R22" i="2" s="1"/>
  <c r="S22" i="2" s="1"/>
  <c r="T22" i="2" s="1"/>
  <c r="AZ21" i="2"/>
  <c r="Q22" i="2" s="1"/>
  <c r="H72" i="1"/>
  <c r="I72" i="1"/>
  <c r="G73" i="1"/>
  <c r="AK22" i="2" l="1"/>
  <c r="B23" i="2" s="1"/>
  <c r="U22" i="2"/>
  <c r="BB22" i="2"/>
  <c r="V22" i="2"/>
  <c r="AM22" i="2" s="1"/>
  <c r="D23" i="2" s="1"/>
  <c r="G74" i="1"/>
  <c r="I73" i="1"/>
  <c r="H73" i="1"/>
  <c r="H10" i="1" l="1"/>
  <c r="L10" i="1"/>
  <c r="AL22" i="2"/>
  <c r="C23" i="2" s="1"/>
  <c r="W22" i="2"/>
  <c r="G75" i="1"/>
  <c r="I74" i="1"/>
  <c r="H74" i="1"/>
  <c r="AN22" i="2" l="1"/>
  <c r="E23" i="2" s="1"/>
  <c r="X22" i="2"/>
  <c r="H75" i="1"/>
  <c r="G76" i="1"/>
  <c r="I75" i="1"/>
  <c r="AO22" i="2" l="1"/>
  <c r="F23" i="2" s="1"/>
  <c r="Y22" i="2"/>
  <c r="Z22" i="2" s="1"/>
  <c r="I76" i="1"/>
  <c r="G77" i="1"/>
  <c r="H76" i="1"/>
  <c r="AP22" i="2" l="1"/>
  <c r="G23" i="2" s="1"/>
  <c r="AQ22" i="2"/>
  <c r="H23" i="2" s="1"/>
  <c r="AA22" i="2"/>
  <c r="I77" i="1"/>
  <c r="H77" i="1"/>
  <c r="G78" i="1"/>
  <c r="AR22" i="2" l="1"/>
  <c r="I23" i="2" s="1"/>
  <c r="AB22" i="2"/>
  <c r="G79" i="1"/>
  <c r="I78" i="1"/>
  <c r="H78" i="1"/>
  <c r="AS22" i="2" l="1"/>
  <c r="J23" i="2" s="1"/>
  <c r="AC22" i="2"/>
  <c r="G80" i="1"/>
  <c r="I79" i="1"/>
  <c r="H79" i="1"/>
  <c r="AT22" i="2" l="1"/>
  <c r="K23" i="2" s="1"/>
  <c r="AD22" i="2"/>
  <c r="AE22" i="2" s="1"/>
  <c r="H80" i="1"/>
  <c r="I80" i="1"/>
  <c r="G81" i="1"/>
  <c r="AU22" i="2" l="1"/>
  <c r="L23" i="2" s="1"/>
  <c r="AV22" i="2"/>
  <c r="M23" i="2" s="1"/>
  <c r="AF22" i="2"/>
  <c r="G82" i="1"/>
  <c r="I81" i="1"/>
  <c r="H81" i="1"/>
  <c r="AW22" i="2" l="1"/>
  <c r="N23" i="2" s="1"/>
  <c r="AG22" i="2"/>
  <c r="G83" i="1"/>
  <c r="I82" i="1"/>
  <c r="H82" i="1"/>
  <c r="AH22" i="2" l="1"/>
  <c r="AI22" i="2" s="1"/>
  <c r="AZ22" i="2" s="1"/>
  <c r="Q23" i="2" s="1"/>
  <c r="AX22" i="2"/>
  <c r="O23" i="2" s="1"/>
  <c r="H83" i="1"/>
  <c r="I83" i="1"/>
  <c r="G84" i="1"/>
  <c r="AJ22" i="2" l="1"/>
  <c r="BA22" i="2" s="1"/>
  <c r="R23" i="2" s="1"/>
  <c r="S23" i="2" s="1"/>
  <c r="T23" i="2" s="1"/>
  <c r="AY22" i="2"/>
  <c r="P23" i="2" s="1"/>
  <c r="G85" i="1"/>
  <c r="I84" i="1"/>
  <c r="H84" i="1"/>
  <c r="U23" i="2" l="1"/>
  <c r="AK23" i="2"/>
  <c r="B24" i="2" s="1"/>
  <c r="I85" i="1"/>
  <c r="H85" i="1"/>
  <c r="G86" i="1"/>
  <c r="AL23" i="2" l="1"/>
  <c r="C24" i="2" s="1"/>
  <c r="V23" i="2"/>
  <c r="W23" i="2" s="1"/>
  <c r="BB23" i="2"/>
  <c r="I86" i="1"/>
  <c r="H86" i="1"/>
  <c r="G87" i="1"/>
  <c r="X23" i="2" l="1"/>
  <c r="Y23" i="2" s="1"/>
  <c r="AM23" i="2"/>
  <c r="D24" i="2" s="1"/>
  <c r="H11" i="1"/>
  <c r="L11" i="1"/>
  <c r="AN23" i="2"/>
  <c r="E24" i="2" s="1"/>
  <c r="H87" i="1"/>
  <c r="G88" i="1"/>
  <c r="I87" i="1"/>
  <c r="AO23" i="2" l="1"/>
  <c r="F24" i="2" s="1"/>
  <c r="AA23" i="2"/>
  <c r="Z23" i="2"/>
  <c r="AP23" i="2"/>
  <c r="G24" i="2" s="1"/>
  <c r="H88" i="1"/>
  <c r="I88" i="1"/>
  <c r="G89" i="1"/>
  <c r="AR23" i="2" l="1"/>
  <c r="I24" i="2" s="1"/>
  <c r="AB23" i="2"/>
  <c r="AQ23" i="2"/>
  <c r="H24" i="2" s="1"/>
  <c r="AS23" i="2"/>
  <c r="J24" i="2" s="1"/>
  <c r="AC23" i="2"/>
  <c r="G90" i="1"/>
  <c r="I89" i="1"/>
  <c r="H89" i="1"/>
  <c r="AD23" i="2" l="1"/>
  <c r="AT23" i="2"/>
  <c r="K24" i="2" s="1"/>
  <c r="G91" i="1"/>
  <c r="I90" i="1"/>
  <c r="H90" i="1"/>
  <c r="AF23" i="2" l="1"/>
  <c r="AU23" i="2"/>
  <c r="L24" i="2" s="1"/>
  <c r="AE23" i="2"/>
  <c r="H91" i="1"/>
  <c r="G92" i="1"/>
  <c r="I91" i="1"/>
  <c r="AV23" i="2" l="1"/>
  <c r="M24" i="2" s="1"/>
  <c r="AW23" i="2"/>
  <c r="N24" i="2" s="1"/>
  <c r="AG23" i="2"/>
  <c r="G93" i="1"/>
  <c r="I92" i="1"/>
  <c r="H92" i="1"/>
  <c r="AX23" i="2" l="1"/>
  <c r="O24" i="2" s="1"/>
  <c r="AH23" i="2"/>
  <c r="AI23" i="2"/>
  <c r="AZ23" i="2" s="1"/>
  <c r="Q24" i="2" s="1"/>
  <c r="I93" i="1"/>
  <c r="H93" i="1"/>
  <c r="G94" i="1"/>
  <c r="AJ23" i="2" l="1"/>
  <c r="BA23" i="2" s="1"/>
  <c r="R24" i="2" s="1"/>
  <c r="S24" i="2" s="1"/>
  <c r="T24" i="2" s="1"/>
  <c r="AY23" i="2"/>
  <c r="P24" i="2" s="1"/>
  <c r="H94" i="1"/>
  <c r="G95" i="1"/>
  <c r="I94" i="1"/>
  <c r="AK24" i="2" l="1"/>
  <c r="B25" i="2" s="1"/>
  <c r="U24" i="2"/>
  <c r="G96" i="1"/>
  <c r="I95" i="1"/>
  <c r="H95" i="1"/>
  <c r="AL24" i="2" l="1"/>
  <c r="C25" i="2" s="1"/>
  <c r="BB24" i="2"/>
  <c r="V24" i="2"/>
  <c r="H96" i="1"/>
  <c r="I96" i="1"/>
  <c r="G97" i="1"/>
  <c r="L12" i="1" l="1"/>
  <c r="H12" i="1"/>
  <c r="W24" i="2"/>
  <c r="AM24" i="2"/>
  <c r="D25" i="2" s="1"/>
  <c r="G98" i="1"/>
  <c r="H97" i="1"/>
  <c r="I97" i="1"/>
  <c r="AN24" i="2" l="1"/>
  <c r="E25" i="2" s="1"/>
  <c r="X24" i="2"/>
  <c r="G99" i="1"/>
  <c r="I98" i="1"/>
  <c r="H98" i="1"/>
  <c r="AO24" i="2" l="1"/>
  <c r="F25" i="2" s="1"/>
  <c r="Y24" i="2"/>
  <c r="Z24" i="2"/>
  <c r="H99" i="1"/>
  <c r="G100" i="1"/>
  <c r="I99" i="1"/>
  <c r="AA24" i="2" l="1"/>
  <c r="AP24" i="2"/>
  <c r="G25" i="2" s="1"/>
  <c r="AQ24" i="2"/>
  <c r="H25" i="2" s="1"/>
  <c r="I100" i="1"/>
  <c r="G101" i="1"/>
  <c r="H100" i="1"/>
  <c r="AB24" i="2" l="1"/>
  <c r="AR24" i="2"/>
  <c r="I25" i="2" s="1"/>
  <c r="I101" i="1"/>
  <c r="H101" i="1"/>
  <c r="G102" i="1"/>
  <c r="AC24" i="2" l="1"/>
  <c r="AD24" i="2" s="1"/>
  <c r="AS24" i="2"/>
  <c r="J25" i="2" s="1"/>
  <c r="G103" i="1"/>
  <c r="H102" i="1"/>
  <c r="I102" i="1"/>
  <c r="AF24" i="2" l="1"/>
  <c r="AT24" i="2"/>
  <c r="K25" i="2" s="1"/>
  <c r="AU24" i="2"/>
  <c r="L25" i="2" s="1"/>
  <c r="AE24" i="2"/>
  <c r="G104" i="1"/>
  <c r="I103" i="1"/>
  <c r="H103" i="1"/>
  <c r="AV24" i="2" l="1"/>
  <c r="M25" i="2" s="1"/>
  <c r="AW24" i="2"/>
  <c r="N25" i="2" s="1"/>
  <c r="AG24" i="2"/>
  <c r="H104" i="1"/>
  <c r="I104" i="1"/>
  <c r="G105" i="1"/>
  <c r="AH24" i="2" l="1"/>
  <c r="AX24" i="2"/>
  <c r="O25" i="2" s="1"/>
  <c r="G106" i="1"/>
  <c r="I105" i="1"/>
  <c r="H105" i="1"/>
  <c r="AI24" i="2" l="1"/>
  <c r="AY24" i="2"/>
  <c r="P25" i="2" s="1"/>
  <c r="G107" i="1"/>
  <c r="I106" i="1"/>
  <c r="H106" i="1"/>
  <c r="AJ24" i="2" l="1"/>
  <c r="BA24" i="2" s="1"/>
  <c r="R25" i="2" s="1"/>
  <c r="AZ24" i="2"/>
  <c r="Q25" i="2" s="1"/>
  <c r="H107" i="1"/>
  <c r="G108" i="1"/>
  <c r="I107" i="1"/>
  <c r="S25" i="2" l="1"/>
  <c r="T25" i="2" s="1"/>
  <c r="I108" i="1"/>
  <c r="G109" i="1"/>
  <c r="H108" i="1"/>
  <c r="AK25" i="2" l="1"/>
  <c r="B26" i="2" s="1"/>
  <c r="V25" i="2"/>
  <c r="U25" i="2"/>
  <c r="BB25" i="2" s="1"/>
  <c r="AL25" i="2"/>
  <c r="C26" i="2" s="1"/>
  <c r="H13" i="1"/>
  <c r="L13" i="1"/>
  <c r="I109" i="1"/>
  <c r="H109" i="1"/>
  <c r="G110" i="1"/>
  <c r="AM25" i="2" l="1"/>
  <c r="D26" i="2" s="1"/>
  <c r="W25" i="2"/>
  <c r="AN25" i="2"/>
  <c r="E26" i="2" s="1"/>
  <c r="X25" i="2"/>
  <c r="H110" i="1"/>
  <c r="G111" i="1"/>
  <c r="I110" i="1"/>
  <c r="AO25" i="2" l="1"/>
  <c r="F26" i="2" s="1"/>
  <c r="Y25" i="2"/>
  <c r="Z25" i="2"/>
  <c r="AQ25" i="2" s="1"/>
  <c r="H26" i="2" s="1"/>
  <c r="G112" i="1"/>
  <c r="H111" i="1"/>
  <c r="I111" i="1"/>
  <c r="AA25" i="2" l="1"/>
  <c r="AB25" i="2"/>
  <c r="AC25" i="2"/>
  <c r="AP25" i="2"/>
  <c r="G26" i="2" s="1"/>
  <c r="H112" i="1"/>
  <c r="I112" i="1"/>
  <c r="G113" i="1"/>
  <c r="AR25" i="2" l="1"/>
  <c r="I26" i="2" s="1"/>
  <c r="AS25" i="2"/>
  <c r="J26" i="2" s="1"/>
  <c r="AT25" i="2"/>
  <c r="K26" i="2" s="1"/>
  <c r="AD25" i="2"/>
  <c r="G114" i="1"/>
  <c r="I113" i="1"/>
  <c r="H113" i="1"/>
  <c r="AU25" i="2" l="1"/>
  <c r="L26" i="2" s="1"/>
  <c r="AE25" i="2"/>
  <c r="G115" i="1"/>
  <c r="I114" i="1"/>
  <c r="H114" i="1"/>
  <c r="AV25" i="2" l="1"/>
  <c r="M26" i="2" s="1"/>
  <c r="AF25" i="2"/>
  <c r="H115" i="1"/>
  <c r="I115" i="1"/>
  <c r="G116" i="1"/>
  <c r="AG25" i="2" l="1"/>
  <c r="AH25" i="2" s="1"/>
  <c r="AY25" i="2" s="1"/>
  <c r="P26" i="2" s="1"/>
  <c r="AW25" i="2"/>
  <c r="N26" i="2" s="1"/>
  <c r="G117" i="1"/>
  <c r="I116" i="1"/>
  <c r="H116" i="1"/>
  <c r="AX25" i="2" l="1"/>
  <c r="O26" i="2" s="1"/>
  <c r="AI25" i="2"/>
  <c r="AZ25" i="2" s="1"/>
  <c r="Q26" i="2" s="1"/>
  <c r="AJ25" i="2"/>
  <c r="BA25" i="2" s="1"/>
  <c r="R26" i="2" s="1"/>
  <c r="S26" i="2" s="1"/>
  <c r="T26" i="2" s="1"/>
  <c r="I117" i="1"/>
  <c r="H117" i="1"/>
  <c r="G118" i="1"/>
  <c r="AK26" i="2" l="1"/>
  <c r="B27" i="2" s="1"/>
  <c r="U26" i="2"/>
  <c r="G119" i="1"/>
  <c r="I118" i="1"/>
  <c r="H118" i="1"/>
  <c r="AL26" i="2" l="1"/>
  <c r="C27" i="2" s="1"/>
  <c r="V26" i="2"/>
  <c r="W26" i="2"/>
  <c r="BB26" i="2"/>
  <c r="G120" i="1"/>
  <c r="I119" i="1"/>
  <c r="H119" i="1"/>
  <c r="AN26" i="2" l="1"/>
  <c r="E27" i="2" s="1"/>
  <c r="X26" i="2"/>
  <c r="AO26" i="2" s="1"/>
  <c r="F27" i="2" s="1"/>
  <c r="L14" i="1"/>
  <c r="H14" i="1"/>
  <c r="AM26" i="2"/>
  <c r="D27" i="2" s="1"/>
  <c r="Y26" i="2"/>
  <c r="Z26" i="2" s="1"/>
  <c r="H120" i="1"/>
  <c r="I120" i="1"/>
  <c r="G121" i="1"/>
  <c r="AP26" i="2" l="1"/>
  <c r="G27" i="2" s="1"/>
  <c r="AQ26" i="2"/>
  <c r="H27" i="2" s="1"/>
  <c r="AA26" i="2"/>
  <c r="AC26" i="2" s="1"/>
  <c r="AB26" i="2"/>
  <c r="AS26" i="2" s="1"/>
  <c r="J27" i="2" s="1"/>
  <c r="G122" i="1"/>
  <c r="I121" i="1"/>
  <c r="H121" i="1"/>
  <c r="AR26" i="2" l="1"/>
  <c r="I27" i="2" s="1"/>
  <c r="AD26" i="2"/>
  <c r="AF26" i="2" s="1"/>
  <c r="AE26" i="2"/>
  <c r="AV26" i="2" s="1"/>
  <c r="M27" i="2" s="1"/>
  <c r="AT26" i="2"/>
  <c r="K27" i="2" s="1"/>
  <c r="G123" i="1"/>
  <c r="I122" i="1"/>
  <c r="H122" i="1"/>
  <c r="AU26" i="2" l="1"/>
  <c r="L27" i="2" s="1"/>
  <c r="AG26" i="2"/>
  <c r="AH26" i="2"/>
  <c r="AY26" i="2" s="1"/>
  <c r="P27" i="2" s="1"/>
  <c r="AW26" i="2"/>
  <c r="N27" i="2" s="1"/>
  <c r="H123" i="1"/>
  <c r="I123" i="1"/>
  <c r="G124" i="1"/>
  <c r="AX26" i="2" l="1"/>
  <c r="O27" i="2" s="1"/>
  <c r="AI26" i="2"/>
  <c r="I124" i="1"/>
  <c r="G125" i="1"/>
  <c r="H124" i="1"/>
  <c r="AZ26" i="2" l="1"/>
  <c r="Q27" i="2" s="1"/>
  <c r="AJ26" i="2"/>
  <c r="BA26" i="2" s="1"/>
  <c r="R27" i="2" s="1"/>
  <c r="S27" i="2" s="1"/>
  <c r="T27" i="2" s="1"/>
  <c r="I125" i="1"/>
  <c r="H125" i="1"/>
  <c r="G126" i="1"/>
  <c r="BB27" i="2" l="1"/>
  <c r="AK27" i="2"/>
  <c r="B28" i="2" s="1"/>
  <c r="U27" i="2"/>
  <c r="AL27" i="2" s="1"/>
  <c r="C28" i="2" s="1"/>
  <c r="V27" i="2"/>
  <c r="G127" i="1"/>
  <c r="I126" i="1"/>
  <c r="H126" i="1"/>
  <c r="H15" i="1" l="1"/>
  <c r="L15" i="1"/>
  <c r="AM27" i="2"/>
  <c r="D28" i="2" s="1"/>
  <c r="W27" i="2"/>
  <c r="G128" i="1"/>
  <c r="I127" i="1"/>
  <c r="H127" i="1"/>
  <c r="X27" i="2" l="1"/>
  <c r="AN27" i="2"/>
  <c r="E28" i="2" s="1"/>
  <c r="H128" i="1"/>
  <c r="I128" i="1"/>
  <c r="G129" i="1"/>
  <c r="AO27" i="2" l="1"/>
  <c r="F28" i="2" s="1"/>
  <c r="Y27" i="2"/>
  <c r="G130" i="1"/>
  <c r="H129" i="1"/>
  <c r="I129" i="1"/>
  <c r="AP27" i="2" l="1"/>
  <c r="G28" i="2" s="1"/>
  <c r="Z27" i="2"/>
  <c r="G131" i="1"/>
  <c r="I130" i="1"/>
  <c r="H130" i="1"/>
  <c r="AQ27" i="2" l="1"/>
  <c r="H28" i="2" s="1"/>
  <c r="AA27" i="2"/>
  <c r="AB27" i="2" s="1"/>
  <c r="H131" i="1"/>
  <c r="I131" i="1"/>
  <c r="G132" i="1"/>
  <c r="AR27" i="2" l="1"/>
  <c r="I28" i="2" s="1"/>
  <c r="AS27" i="2"/>
  <c r="J28" i="2" s="1"/>
  <c r="AC27" i="2"/>
  <c r="AD27" i="2"/>
  <c r="I132" i="1"/>
  <c r="G133" i="1"/>
  <c r="H132" i="1"/>
  <c r="AT27" i="2" l="1"/>
  <c r="K28" i="2" s="1"/>
  <c r="AE27" i="2"/>
  <c r="AU27" i="2"/>
  <c r="L28" i="2" s="1"/>
  <c r="AF27" i="2"/>
  <c r="AW27" i="2" s="1"/>
  <c r="N28" i="2" s="1"/>
  <c r="I133" i="1"/>
  <c r="H133" i="1"/>
  <c r="G134" i="1"/>
  <c r="AG27" i="2" l="1"/>
  <c r="AH27" i="2" s="1"/>
  <c r="AY27" i="2" s="1"/>
  <c r="P28" i="2" s="1"/>
  <c r="AV27" i="2"/>
  <c r="M28" i="2" s="1"/>
  <c r="G135" i="1"/>
  <c r="I134" i="1"/>
  <c r="H134" i="1"/>
  <c r="AI27" i="2" l="1"/>
  <c r="AZ27" i="2" s="1"/>
  <c r="Q28" i="2" s="1"/>
  <c r="AJ27" i="2"/>
  <c r="BA27" i="2" s="1"/>
  <c r="R28" i="2" s="1"/>
  <c r="S28" i="2" s="1"/>
  <c r="T28" i="2" s="1"/>
  <c r="AX27" i="2"/>
  <c r="O28" i="2" s="1"/>
  <c r="G136" i="1"/>
  <c r="H135" i="1"/>
  <c r="I135" i="1"/>
  <c r="AK28" i="2" l="1"/>
  <c r="B29" i="2" s="1"/>
  <c r="U28" i="2"/>
  <c r="W28" i="2" s="1"/>
  <c r="AN28" i="2" s="1"/>
  <c r="E29" i="2" s="1"/>
  <c r="BB28" i="2"/>
  <c r="V28" i="2"/>
  <c r="AM28" i="2" s="1"/>
  <c r="D29" i="2" s="1"/>
  <c r="H136" i="1"/>
  <c r="I136" i="1"/>
  <c r="G137" i="1"/>
  <c r="AL28" i="2" l="1"/>
  <c r="C29" i="2" s="1"/>
  <c r="H16" i="1"/>
  <c r="L16" i="1"/>
  <c r="X28" i="2"/>
  <c r="G138" i="1"/>
  <c r="H137" i="1"/>
  <c r="I137" i="1"/>
  <c r="Y28" i="2" l="1"/>
  <c r="AO28" i="2"/>
  <c r="F29" i="2" s="1"/>
  <c r="G139" i="1"/>
  <c r="I138" i="1"/>
  <c r="H138" i="1"/>
  <c r="Z28" i="2" l="1"/>
  <c r="AP28" i="2"/>
  <c r="G29" i="2" s="1"/>
  <c r="H139" i="1"/>
  <c r="I139" i="1"/>
  <c r="G140" i="1"/>
  <c r="AQ28" i="2" l="1"/>
  <c r="H29" i="2" s="1"/>
  <c r="AA28" i="2"/>
  <c r="G141" i="1"/>
  <c r="I140" i="1"/>
  <c r="H140" i="1"/>
  <c r="AR28" i="2" l="1"/>
  <c r="I29" i="2" s="1"/>
  <c r="AB28" i="2"/>
  <c r="H141" i="1"/>
  <c r="G142" i="1"/>
  <c r="I141" i="1"/>
  <c r="AD28" i="2" l="1"/>
  <c r="AS28" i="2"/>
  <c r="J29" i="2" s="1"/>
  <c r="AC28" i="2"/>
  <c r="I142" i="1"/>
  <c r="H142" i="1"/>
  <c r="G143" i="1"/>
  <c r="AU28" i="2" l="1"/>
  <c r="L29" i="2" s="1"/>
  <c r="AT28" i="2"/>
  <c r="K29" i="2" s="1"/>
  <c r="AE28" i="2"/>
  <c r="AF28" i="2" s="1"/>
  <c r="G144" i="1"/>
  <c r="I143" i="1"/>
  <c r="H143" i="1"/>
  <c r="AW28" i="2" l="1"/>
  <c r="N29" i="2" s="1"/>
  <c r="AG28" i="2"/>
  <c r="AV28" i="2"/>
  <c r="M29" i="2" s="1"/>
  <c r="AH28" i="2"/>
  <c r="AY28" i="2" s="1"/>
  <c r="P29" i="2" s="1"/>
  <c r="I144" i="1"/>
  <c r="G145" i="1"/>
  <c r="H144" i="1"/>
  <c r="AI28" i="2" l="1"/>
  <c r="AX28" i="2"/>
  <c r="O29" i="2" s="1"/>
  <c r="G146" i="1"/>
  <c r="I145" i="1"/>
  <c r="H145" i="1"/>
  <c r="AZ28" i="2" l="1"/>
  <c r="Q29" i="2" s="1"/>
  <c r="AJ28" i="2"/>
  <c r="BA28" i="2" s="1"/>
  <c r="R29" i="2" s="1"/>
  <c r="I146" i="1"/>
  <c r="H146" i="1"/>
  <c r="G147" i="1"/>
  <c r="S29" i="2" l="1"/>
  <c r="T29" i="2" s="1"/>
  <c r="H147" i="1"/>
  <c r="G148" i="1"/>
  <c r="I147" i="1"/>
  <c r="AK29" i="2" l="1"/>
  <c r="B30" i="2" s="1"/>
  <c r="U29" i="2"/>
  <c r="G149" i="1"/>
  <c r="H148" i="1"/>
  <c r="I148" i="1"/>
  <c r="V29" i="2" l="1"/>
  <c r="BB29" i="2"/>
  <c r="W29" i="2"/>
  <c r="AN29" i="2" s="1"/>
  <c r="E30" i="2" s="1"/>
  <c r="AL29" i="2"/>
  <c r="C30" i="2" s="1"/>
  <c r="H149" i="1"/>
  <c r="G150" i="1"/>
  <c r="I149" i="1"/>
  <c r="X29" i="2" l="1"/>
  <c r="AM29" i="2"/>
  <c r="D30" i="2" s="1"/>
  <c r="L17" i="1"/>
  <c r="H17" i="1"/>
  <c r="H150" i="1"/>
  <c r="G151" i="1"/>
  <c r="I150" i="1"/>
  <c r="AO29" i="2" l="1"/>
  <c r="F30" i="2" s="1"/>
  <c r="Y29" i="2"/>
  <c r="Z29" i="2"/>
  <c r="AQ29" i="2" s="1"/>
  <c r="H30" i="2" s="1"/>
  <c r="AA29" i="2"/>
  <c r="AR29" i="2" s="1"/>
  <c r="I30" i="2" s="1"/>
  <c r="G152" i="1"/>
  <c r="I151" i="1"/>
  <c r="H151" i="1"/>
  <c r="AC29" i="2" l="1"/>
  <c r="AB29" i="2"/>
  <c r="AS29" i="2" s="1"/>
  <c r="J30" i="2" s="1"/>
  <c r="AP29" i="2"/>
  <c r="G30" i="2" s="1"/>
  <c r="I152" i="1"/>
  <c r="G153" i="1"/>
  <c r="H152" i="1"/>
  <c r="AT29" i="2" l="1"/>
  <c r="K30" i="2" s="1"/>
  <c r="AE29" i="2"/>
  <c r="AD29" i="2"/>
  <c r="AU29" i="2" s="1"/>
  <c r="L30" i="2" s="1"/>
  <c r="H153" i="1"/>
  <c r="I153" i="1"/>
  <c r="G154" i="1"/>
  <c r="AV29" i="2" l="1"/>
  <c r="M30" i="2" s="1"/>
  <c r="AF29" i="2"/>
  <c r="I154" i="1"/>
  <c r="H154" i="1"/>
  <c r="G155" i="1"/>
  <c r="AW29" i="2" l="1"/>
  <c r="N30" i="2" s="1"/>
  <c r="AG29" i="2"/>
  <c r="H155" i="1"/>
  <c r="I155" i="1"/>
  <c r="G156" i="1"/>
  <c r="AH29" i="2" l="1"/>
  <c r="AI29" i="2"/>
  <c r="AZ29" i="2" s="1"/>
  <c r="Q30" i="2" s="1"/>
  <c r="AX29" i="2"/>
  <c r="O30" i="2" s="1"/>
  <c r="I156" i="1"/>
  <c r="H156" i="1"/>
  <c r="G157" i="1"/>
  <c r="AJ29" i="2" l="1"/>
  <c r="BA29" i="2" s="1"/>
  <c r="R30" i="2" s="1"/>
  <c r="AY29" i="2"/>
  <c r="P30" i="2" s="1"/>
  <c r="H157" i="1"/>
  <c r="G158" i="1"/>
  <c r="I157" i="1"/>
  <c r="S30" i="2" l="1"/>
  <c r="T30" i="2" s="1"/>
  <c r="G159" i="1"/>
  <c r="I158" i="1"/>
  <c r="H158" i="1"/>
  <c r="U30" i="2" l="1"/>
  <c r="BB30" i="2" s="1"/>
  <c r="AK30" i="2"/>
  <c r="B31" i="2" s="1"/>
  <c r="V30" i="2"/>
  <c r="W30" i="2"/>
  <c r="AN30" i="2" s="1"/>
  <c r="E31" i="2" s="1"/>
  <c r="G160" i="1"/>
  <c r="I159" i="1"/>
  <c r="H159" i="1"/>
  <c r="H18" i="1" l="1"/>
  <c r="L18" i="1"/>
  <c r="X30" i="2"/>
  <c r="AL30" i="2"/>
  <c r="C31" i="2" s="1"/>
  <c r="AM30" i="2"/>
  <c r="D31" i="2" s="1"/>
  <c r="I160" i="1"/>
  <c r="H160" i="1"/>
  <c r="G161" i="1"/>
  <c r="AO30" i="2" l="1"/>
  <c r="F31" i="2" s="1"/>
  <c r="Y30" i="2"/>
  <c r="G162" i="1"/>
  <c r="I161" i="1"/>
  <c r="H161" i="1"/>
  <c r="AP30" i="2" l="1"/>
  <c r="G31" i="2" s="1"/>
  <c r="AA30" i="2"/>
  <c r="Z30" i="2"/>
  <c r="I162" i="1"/>
  <c r="H162" i="1"/>
  <c r="G163" i="1"/>
  <c r="AR30" i="2" l="1"/>
  <c r="I31" i="2" s="1"/>
  <c r="AQ30" i="2"/>
  <c r="H31" i="2" s="1"/>
  <c r="AB30" i="2"/>
  <c r="H163" i="1"/>
  <c r="G164" i="1"/>
  <c r="I163" i="1"/>
  <c r="AS30" i="2" l="1"/>
  <c r="J31" i="2" s="1"/>
  <c r="AC30" i="2"/>
  <c r="AD30" i="2"/>
  <c r="H164" i="1"/>
  <c r="I164" i="1"/>
  <c r="G165" i="1"/>
  <c r="AT30" i="2" l="1"/>
  <c r="K31" i="2" s="1"/>
  <c r="AU30" i="2"/>
  <c r="L31" i="2" s="1"/>
  <c r="AE30" i="2"/>
  <c r="H165" i="1"/>
  <c r="G166" i="1"/>
  <c r="I165" i="1"/>
  <c r="AV30" i="2" l="1"/>
  <c r="M31" i="2" s="1"/>
  <c r="AF30" i="2"/>
  <c r="G167" i="1"/>
  <c r="I166" i="1"/>
  <c r="H166" i="1"/>
  <c r="AW30" i="2" l="1"/>
  <c r="N31" i="2" s="1"/>
  <c r="AG30" i="2"/>
  <c r="G168" i="1"/>
  <c r="H167" i="1"/>
  <c r="I167" i="1"/>
  <c r="AH30" i="2" l="1"/>
  <c r="AX30" i="2"/>
  <c r="O31" i="2" s="1"/>
  <c r="I168" i="1"/>
  <c r="G169" i="1"/>
  <c r="H168" i="1"/>
  <c r="AJ30" i="2" l="1"/>
  <c r="BA30" i="2" s="1"/>
  <c r="R31" i="2" s="1"/>
  <c r="S31" i="2" s="1"/>
  <c r="T31" i="2" s="1"/>
  <c r="AI30" i="2"/>
  <c r="AZ30" i="2" s="1"/>
  <c r="Q31" i="2" s="1"/>
  <c r="AY30" i="2"/>
  <c r="P31" i="2" s="1"/>
  <c r="I169" i="1"/>
  <c r="H169" i="1"/>
  <c r="BB31" i="2" l="1"/>
  <c r="AK31" i="2"/>
  <c r="B32" i="2" s="1"/>
  <c r="U31" i="2"/>
  <c r="L19" i="1" l="1"/>
  <c r="H19" i="1"/>
  <c r="AL31" i="2"/>
  <c r="C32" i="2" s="1"/>
  <c r="V31" i="2"/>
  <c r="AM31" i="2" l="1"/>
  <c r="D32" i="2" s="1"/>
  <c r="W31" i="2"/>
  <c r="X31" i="2"/>
  <c r="AN31" i="2" l="1"/>
  <c r="E32" i="2" s="1"/>
  <c r="AO31" i="2"/>
  <c r="F32" i="2" s="1"/>
  <c r="Y31" i="2"/>
  <c r="Z31" i="2"/>
  <c r="AQ31" i="2" s="1"/>
  <c r="H32" i="2" s="1"/>
  <c r="AA31" i="2"/>
  <c r="AR31" i="2" s="1"/>
  <c r="I32" i="2" s="1"/>
  <c r="AD31" i="2" l="1"/>
  <c r="AB31" i="2"/>
  <c r="AS31" i="2" s="1"/>
  <c r="J32" i="2" s="1"/>
  <c r="AP31" i="2"/>
  <c r="G32" i="2" s="1"/>
  <c r="AC31" i="2"/>
  <c r="AU31" i="2" l="1"/>
  <c r="L32" i="2" s="1"/>
  <c r="AF31" i="2"/>
  <c r="AT31" i="2"/>
  <c r="K32" i="2" s="1"/>
  <c r="AE31" i="2"/>
  <c r="AV31" i="2" s="1"/>
  <c r="M32" i="2" s="1"/>
  <c r="AW31" i="2" l="1"/>
  <c r="N32" i="2" s="1"/>
  <c r="AG31" i="2"/>
  <c r="AH31" i="2"/>
  <c r="AY31" i="2" s="1"/>
  <c r="P32" i="2" s="1"/>
  <c r="AX31" i="2" l="1"/>
  <c r="O32" i="2" s="1"/>
  <c r="AI31" i="2"/>
  <c r="AZ31" i="2" s="1"/>
  <c r="Q32" i="2" s="1"/>
  <c r="AJ31" i="2"/>
  <c r="BA31" i="2" s="1"/>
  <c r="R32" i="2" s="1"/>
  <c r="S32" i="2" s="1"/>
  <c r="T32" i="2" s="1"/>
  <c r="U32" i="2" l="1"/>
  <c r="AK32" i="2"/>
  <c r="B33" i="2" s="1"/>
  <c r="BB32" i="2" l="1"/>
  <c r="AL32" i="2"/>
  <c r="C33" i="2" s="1"/>
  <c r="V32" i="2"/>
  <c r="H20" i="1" l="1"/>
  <c r="L20" i="1"/>
  <c r="AM32" i="2"/>
  <c r="D33" i="2" s="1"/>
  <c r="W32" i="2"/>
  <c r="X32" i="2" l="1"/>
  <c r="AN32" i="2"/>
  <c r="E33" i="2" s="1"/>
  <c r="Y32" i="2" l="1"/>
  <c r="AO32" i="2"/>
  <c r="F33" i="2" s="1"/>
  <c r="Z32" i="2"/>
  <c r="AQ32" i="2" s="1"/>
  <c r="H33" i="2" s="1"/>
  <c r="AA32" i="2"/>
  <c r="AR32" i="2" s="1"/>
  <c r="I33" i="2" s="1"/>
  <c r="AP32" i="2" l="1"/>
  <c r="G33" i="2" s="1"/>
  <c r="AB32" i="2"/>
  <c r="AS32" i="2"/>
  <c r="J33" i="2" s="1"/>
  <c r="AC32" i="2"/>
  <c r="AT32" i="2" s="1"/>
  <c r="K33" i="2" s="1"/>
  <c r="AD32" i="2" l="1"/>
  <c r="AE32" i="2"/>
  <c r="AV32" i="2" s="1"/>
  <c r="M33" i="2" s="1"/>
  <c r="AU32" i="2"/>
  <c r="L33" i="2" s="1"/>
  <c r="AF32" i="2"/>
  <c r="AW32" i="2" s="1"/>
  <c r="N33" i="2" s="1"/>
  <c r="AG32" i="2" l="1"/>
  <c r="AX32" i="2" l="1"/>
  <c r="O33" i="2" s="1"/>
  <c r="AH32" i="2"/>
  <c r="AY32" i="2" s="1"/>
  <c r="P33" i="2" s="1"/>
  <c r="AI32" i="2"/>
  <c r="AZ32" i="2" s="1"/>
  <c r="Q33" i="2" s="1"/>
  <c r="AJ32" i="2" l="1"/>
  <c r="BA32" i="2" s="1"/>
  <c r="R33" i="2" s="1"/>
  <c r="S33" i="2" s="1"/>
  <c r="T33" i="2" s="1"/>
  <c r="AK33" i="2" l="1"/>
  <c r="B34" i="2" s="1"/>
  <c r="U33" i="2"/>
  <c r="AL33" i="2" s="1"/>
  <c r="C34" i="2" s="1"/>
  <c r="V33" i="2"/>
  <c r="AM33" i="2" s="1"/>
  <c r="D34" i="2" s="1"/>
  <c r="BB33" i="2"/>
  <c r="L21" i="1" l="1"/>
  <c r="H21" i="1"/>
  <c r="W33" i="2"/>
  <c r="AN33" i="2" l="1"/>
  <c r="E34" i="2" s="1"/>
  <c r="X33" i="2"/>
  <c r="AO33" i="2" s="1"/>
  <c r="F34" i="2" s="1"/>
  <c r="Y33" i="2" l="1"/>
  <c r="Z33" i="2"/>
  <c r="AQ33" i="2" s="1"/>
  <c r="H34" i="2" s="1"/>
  <c r="AP33" i="2" l="1"/>
  <c r="G34" i="2" s="1"/>
  <c r="AA33" i="2"/>
  <c r="AR33" i="2" s="1"/>
  <c r="I34" i="2" s="1"/>
  <c r="AB33" i="2" l="1"/>
  <c r="AS33" i="2" s="1"/>
  <c r="J34" i="2" s="1"/>
  <c r="AC33" i="2" l="1"/>
  <c r="AT33" i="2" s="1"/>
  <c r="K34" i="2" s="1"/>
  <c r="AD33" i="2" l="1"/>
  <c r="AU33" i="2" s="1"/>
  <c r="L34" i="2" s="1"/>
  <c r="AE33" i="2" l="1"/>
  <c r="AV33" i="2" l="1"/>
  <c r="M34" i="2" s="1"/>
  <c r="AF33" i="2"/>
  <c r="AG33" i="2"/>
  <c r="AX33" i="2" s="1"/>
  <c r="O34" i="2" s="1"/>
  <c r="AW33" i="2" l="1"/>
  <c r="N34" i="2" s="1"/>
  <c r="AH33" i="2"/>
  <c r="AY33" i="2" l="1"/>
  <c r="P34" i="2" s="1"/>
  <c r="AI33" i="2"/>
  <c r="AZ33" i="2" l="1"/>
  <c r="Q34" i="2" s="1"/>
  <c r="AJ33" i="2"/>
  <c r="BA33" i="2" s="1"/>
  <c r="R34" i="2" s="1"/>
  <c r="S34" i="2" s="1"/>
  <c r="T34" i="2" s="1"/>
  <c r="U34" i="2"/>
  <c r="BB34" i="2"/>
  <c r="AK34" i="2"/>
  <c r="B35" i="2" s="1"/>
  <c r="AL34" i="2" l="1"/>
  <c r="C35" i="2" s="1"/>
  <c r="V34" i="2"/>
  <c r="AM34" i="2" s="1"/>
  <c r="D35" i="2" s="1"/>
  <c r="L22" i="1"/>
  <c r="H22" i="1"/>
  <c r="W34" i="2"/>
  <c r="X34" i="2"/>
  <c r="AO34" i="2" l="1"/>
  <c r="F35" i="2" s="1"/>
  <c r="Y34" i="2"/>
  <c r="Z34" i="2"/>
  <c r="AN34" i="2"/>
  <c r="E35" i="2" s="1"/>
  <c r="AP34" i="2" l="1"/>
  <c r="G35" i="2" s="1"/>
  <c r="AQ34" i="2"/>
  <c r="H35" i="2" s="1"/>
  <c r="AA34" i="2"/>
  <c r="AR34" i="2" l="1"/>
  <c r="I35" i="2" s="1"/>
  <c r="AB34" i="2"/>
  <c r="AS34" i="2" s="1"/>
  <c r="J35" i="2" s="1"/>
  <c r="AC34" i="2"/>
  <c r="AT34" i="2" s="1"/>
  <c r="K35" i="2" s="1"/>
  <c r="AD34" i="2"/>
  <c r="AU34" i="2" l="1"/>
  <c r="L35" i="2" s="1"/>
  <c r="AE34" i="2"/>
  <c r="AV34" i="2" l="1"/>
  <c r="M35" i="2" s="1"/>
  <c r="AF34" i="2"/>
  <c r="AG34" i="2"/>
  <c r="AX34" i="2" s="1"/>
  <c r="O35" i="2" s="1"/>
  <c r="AH34" i="2" l="1"/>
  <c r="AW34" i="2"/>
  <c r="N35" i="2" s="1"/>
  <c r="AY34" i="2" l="1"/>
  <c r="P35" i="2" s="1"/>
  <c r="AI34" i="2"/>
  <c r="AZ34" i="2" s="1"/>
  <c r="Q35" i="2" s="1"/>
  <c r="AJ34" i="2"/>
  <c r="BA34" i="2" s="1"/>
  <c r="R35" i="2" s="1"/>
  <c r="S35" i="2" s="1"/>
  <c r="T35" i="2" s="1"/>
  <c r="AK35" i="2" l="1"/>
  <c r="B36" i="2" s="1"/>
  <c r="U35" i="2"/>
  <c r="AL35" i="2" l="1"/>
  <c r="C36" i="2" s="1"/>
  <c r="V35" i="2"/>
  <c r="W35" i="2"/>
  <c r="AN35" i="2" s="1"/>
  <c r="E36" i="2" s="1"/>
  <c r="X35" i="2"/>
  <c r="AO35" i="2" s="1"/>
  <c r="F36" i="2" s="1"/>
  <c r="BB35" i="2"/>
  <c r="L23" i="1" l="1"/>
  <c r="H23" i="1"/>
  <c r="AM35" i="2"/>
  <c r="D36" i="2" s="1"/>
  <c r="Y35" i="2"/>
  <c r="Z35" i="2"/>
  <c r="AP35" i="2"/>
  <c r="G36" i="2" s="1"/>
  <c r="AQ35" i="2" l="1"/>
  <c r="H36" i="2" s="1"/>
  <c r="AA35" i="2"/>
  <c r="AR35" i="2" l="1"/>
  <c r="I36" i="2" s="1"/>
  <c r="AB35" i="2"/>
  <c r="AS35" i="2" s="1"/>
  <c r="J36" i="2" s="1"/>
  <c r="AC35" i="2"/>
  <c r="AT35" i="2" s="1"/>
  <c r="K36" i="2" s="1"/>
  <c r="AD35" i="2" l="1"/>
  <c r="AU35" i="2" s="1"/>
  <c r="L36" i="2" s="1"/>
  <c r="AE35" i="2" l="1"/>
  <c r="AV35" i="2" s="1"/>
  <c r="M36" i="2" s="1"/>
  <c r="AF35" i="2" l="1"/>
  <c r="AW35" i="2" l="1"/>
  <c r="N36" i="2" s="1"/>
  <c r="AG35" i="2"/>
  <c r="AX35" i="2" l="1"/>
  <c r="O36" i="2" s="1"/>
  <c r="AH35" i="2"/>
  <c r="AY35" i="2" l="1"/>
  <c r="P36" i="2" s="1"/>
  <c r="AI35" i="2"/>
  <c r="AZ35" i="2" l="1"/>
  <c r="Q36" i="2" s="1"/>
  <c r="AJ35" i="2"/>
  <c r="BA35" i="2" s="1"/>
  <c r="R36" i="2" s="1"/>
  <c r="S36" i="2" s="1"/>
  <c r="T36" i="2" s="1"/>
  <c r="U36" i="2" l="1"/>
  <c r="AK36" i="2"/>
  <c r="B37" i="2" s="1"/>
  <c r="AL36" i="2"/>
  <c r="C37" i="2" s="1"/>
  <c r="BB36" i="2"/>
  <c r="V36" i="2" l="1"/>
  <c r="W36" i="2"/>
  <c r="AN36" i="2" s="1"/>
  <c r="E37" i="2" s="1"/>
  <c r="L24" i="1"/>
  <c r="H24" i="1"/>
  <c r="AM36" i="2" l="1"/>
  <c r="D37" i="2" s="1"/>
  <c r="X36" i="2"/>
  <c r="AO36" i="2" l="1"/>
  <c r="F37" i="2" s="1"/>
  <c r="Y36" i="2"/>
  <c r="Z36" i="2" l="1"/>
  <c r="AP36" i="2"/>
  <c r="G37" i="2" s="1"/>
  <c r="AA36" i="2" l="1"/>
  <c r="AQ36" i="2"/>
  <c r="H37" i="2" s="1"/>
  <c r="AB36" i="2" l="1"/>
  <c r="AR36" i="2"/>
  <c r="I37" i="2" s="1"/>
  <c r="AC36" i="2" l="1"/>
  <c r="AS36" i="2"/>
  <c r="J37" i="2" s="1"/>
  <c r="AD36" i="2" l="1"/>
  <c r="AT36" i="2"/>
  <c r="K37" i="2" s="1"/>
  <c r="AE36" i="2" l="1"/>
  <c r="AU36" i="2"/>
  <c r="L37" i="2" s="1"/>
  <c r="AF36" i="2" l="1"/>
  <c r="AV36" i="2"/>
  <c r="M37" i="2" s="1"/>
  <c r="AG36" i="2" l="1"/>
  <c r="AX36" i="2" s="1"/>
  <c r="O37" i="2" s="1"/>
  <c r="AW36" i="2"/>
  <c r="N37" i="2" s="1"/>
  <c r="AH36" i="2"/>
  <c r="AY36" i="2" s="1"/>
  <c r="P37" i="2" s="1"/>
  <c r="AI36" i="2"/>
  <c r="AZ36" i="2" s="1"/>
  <c r="Q37" i="2" s="1"/>
  <c r="S37" i="2" s="1"/>
  <c r="T37" i="2" s="1"/>
  <c r="AJ36" i="2"/>
  <c r="BA36" i="2" s="1"/>
  <c r="R37" i="2" s="1"/>
  <c r="U37" i="2" l="1"/>
  <c r="AK37" i="2"/>
  <c r="B38" i="2" s="1"/>
  <c r="BB37" i="2"/>
  <c r="V37" i="2"/>
  <c r="AM37" i="2" s="1"/>
  <c r="D38" i="2" s="1"/>
  <c r="W37" i="2" l="1"/>
  <c r="X37" i="2" s="1"/>
  <c r="AL37" i="2"/>
  <c r="C38" i="2" s="1"/>
  <c r="H25" i="1"/>
  <c r="L25" i="1"/>
  <c r="Y37" i="2" l="1"/>
  <c r="Z37" i="2" s="1"/>
  <c r="AN37" i="2"/>
  <c r="E38" i="2" s="1"/>
  <c r="AO37" i="2"/>
  <c r="F38" i="2" s="1"/>
  <c r="AP37" i="2" l="1"/>
  <c r="G38" i="2" s="1"/>
  <c r="AQ37" i="2"/>
  <c r="H38" i="2" s="1"/>
  <c r="AA37" i="2"/>
  <c r="AR37" i="2" l="1"/>
  <c r="I38" i="2" s="1"/>
  <c r="AB37" i="2"/>
  <c r="AS37" i="2" l="1"/>
  <c r="J38" i="2" s="1"/>
  <c r="AC37" i="2"/>
  <c r="AT37" i="2" l="1"/>
  <c r="K38" i="2" s="1"/>
  <c r="AD37" i="2"/>
  <c r="AU37" i="2" l="1"/>
  <c r="L38" i="2" s="1"/>
  <c r="AE37" i="2"/>
  <c r="AV37" i="2" l="1"/>
  <c r="M38" i="2" s="1"/>
  <c r="AF37" i="2"/>
  <c r="AW37" i="2"/>
  <c r="N38" i="2" s="1"/>
  <c r="AG37" i="2"/>
  <c r="AH37" i="2"/>
  <c r="AY37" i="2" s="1"/>
  <c r="P38" i="2" s="1"/>
  <c r="AI37" i="2" l="1"/>
  <c r="AX37" i="2"/>
  <c r="O38" i="2" s="1"/>
  <c r="AJ37" i="2" l="1"/>
  <c r="BA37" i="2" s="1"/>
  <c r="R38" i="2" s="1"/>
  <c r="AZ37" i="2"/>
  <c r="Q38" i="2" s="1"/>
  <c r="S38" i="2" l="1"/>
  <c r="T38" i="2" s="1"/>
  <c r="U38" i="2" l="1"/>
  <c r="AK38" i="2"/>
  <c r="B39" i="2" s="1"/>
  <c r="BB38" i="2" l="1"/>
  <c r="V38" i="2"/>
  <c r="AL38" i="2"/>
  <c r="C39" i="2" s="1"/>
  <c r="AM38" i="2"/>
  <c r="D39" i="2" s="1"/>
  <c r="W38" i="2"/>
  <c r="X38" i="2" s="1"/>
  <c r="H26" i="1" l="1"/>
  <c r="L26" i="1"/>
  <c r="AN38" i="2"/>
  <c r="E39" i="2" s="1"/>
  <c r="Z38" i="2"/>
  <c r="AO38" i="2"/>
  <c r="F39" i="2" s="1"/>
  <c r="Y38" i="2"/>
  <c r="AP38" i="2" l="1"/>
  <c r="G39" i="2" s="1"/>
  <c r="AQ38" i="2"/>
  <c r="H39" i="2" s="1"/>
  <c r="AA38" i="2"/>
  <c r="AR38" i="2" l="1"/>
  <c r="I39" i="2" s="1"/>
  <c r="AB38" i="2"/>
  <c r="AS38" i="2" l="1"/>
  <c r="J39" i="2" s="1"/>
  <c r="AC38" i="2"/>
  <c r="AD38" i="2" s="1"/>
  <c r="AU38" i="2" s="1"/>
  <c r="L39" i="2" s="1"/>
  <c r="AE38" i="2" l="1"/>
  <c r="AT38" i="2"/>
  <c r="K39" i="2" s="1"/>
  <c r="AF38" i="2"/>
  <c r="AW38" i="2" s="1"/>
  <c r="N39" i="2" s="1"/>
  <c r="AV38" i="2" l="1"/>
  <c r="M39" i="2" s="1"/>
  <c r="AG38" i="2"/>
  <c r="AI38" i="2" s="1"/>
  <c r="AZ38" i="2" s="1"/>
  <c r="Q39" i="2" s="1"/>
  <c r="AH38" i="2"/>
  <c r="AY38" i="2" s="1"/>
  <c r="P39" i="2" s="1"/>
  <c r="AJ38" i="2" l="1"/>
  <c r="BA38" i="2" s="1"/>
  <c r="R39" i="2" s="1"/>
  <c r="S39" i="2" s="1"/>
  <c r="T39" i="2" s="1"/>
  <c r="AX38" i="2"/>
  <c r="O39" i="2" s="1"/>
  <c r="AK39" i="2" l="1"/>
  <c r="B40" i="2" s="1"/>
  <c r="U39" i="2"/>
  <c r="AL39" i="2" l="1"/>
  <c r="C40" i="2" s="1"/>
  <c r="V39" i="2"/>
  <c r="BB39" i="2"/>
  <c r="X39" i="2" l="1"/>
  <c r="W39" i="2"/>
  <c r="AM39" i="2"/>
  <c r="D40" i="2" s="1"/>
  <c r="L27" i="1"/>
  <c r="H27" i="1"/>
  <c r="AA39" i="2" l="1"/>
  <c r="AN39" i="2"/>
  <c r="E40" i="2" s="1"/>
  <c r="AO39" i="2"/>
  <c r="F40" i="2" s="1"/>
  <c r="Y39" i="2"/>
  <c r="Z39" i="2"/>
  <c r="AR39" i="2" l="1"/>
  <c r="I40" i="2" s="1"/>
  <c r="AP39" i="2"/>
  <c r="G40" i="2" s="1"/>
  <c r="AB39" i="2"/>
  <c r="AQ39" i="2"/>
  <c r="H40" i="2" s="1"/>
  <c r="AS39" i="2" l="1"/>
  <c r="J40" i="2" s="1"/>
  <c r="AC39" i="2"/>
  <c r="AD39" i="2" l="1"/>
  <c r="AT39" i="2"/>
  <c r="K40" i="2" s="1"/>
  <c r="AE39" i="2" l="1"/>
  <c r="AF39" i="2" s="1"/>
  <c r="AW39" i="2" s="1"/>
  <c r="N40" i="2" s="1"/>
  <c r="AU39" i="2"/>
  <c r="L40" i="2" s="1"/>
  <c r="AG39" i="2" l="1"/>
  <c r="AH39" i="2"/>
  <c r="AY39" i="2" s="1"/>
  <c r="P40" i="2" s="1"/>
  <c r="AV39" i="2"/>
  <c r="M40" i="2" s="1"/>
  <c r="AI39" i="2" l="1"/>
  <c r="AX39" i="2"/>
  <c r="O40" i="2" s="1"/>
  <c r="AZ39" i="2" l="1"/>
  <c r="Q40" i="2" s="1"/>
  <c r="AJ39" i="2"/>
  <c r="BA39" i="2" s="1"/>
  <c r="R40" i="2" s="1"/>
  <c r="S40" i="2" s="1"/>
  <c r="T40" i="2" s="1"/>
  <c r="BB40" i="2" l="1"/>
  <c r="AK40" i="2"/>
  <c r="B41" i="2" s="1"/>
  <c r="U40" i="2"/>
  <c r="W40" i="2" s="1"/>
  <c r="V40" i="2"/>
  <c r="AM40" i="2" s="1"/>
  <c r="D41" i="2" s="1"/>
  <c r="H28" i="1"/>
  <c r="L28" i="1"/>
  <c r="AL40" i="2"/>
  <c r="C41" i="2" s="1"/>
  <c r="X40" i="2" l="1"/>
  <c r="AN40" i="2"/>
  <c r="E41" i="2" s="1"/>
  <c r="AO40" i="2" l="1"/>
  <c r="F41" i="2" s="1"/>
  <c r="Y40" i="2"/>
  <c r="AP40" i="2" l="1"/>
  <c r="G41" i="2" s="1"/>
  <c r="Z40" i="2"/>
  <c r="AQ40" i="2" l="1"/>
  <c r="H41" i="2" s="1"/>
  <c r="AA40" i="2"/>
  <c r="AR40" i="2" l="1"/>
  <c r="I41" i="2" s="1"/>
  <c r="AB40" i="2"/>
  <c r="AS40" i="2" l="1"/>
  <c r="J41" i="2" s="1"/>
  <c r="AC40" i="2"/>
  <c r="AT40" i="2"/>
  <c r="K41" i="2" s="1"/>
  <c r="AD40" i="2" l="1"/>
  <c r="AU40" i="2" s="1"/>
  <c r="L41" i="2" s="1"/>
  <c r="AE40" i="2"/>
  <c r="AV40" i="2" l="1"/>
  <c r="M41" i="2" s="1"/>
  <c r="AF40" i="2"/>
  <c r="AW40" i="2" l="1"/>
  <c r="N41" i="2" s="1"/>
  <c r="AG40" i="2"/>
  <c r="AX40" i="2" l="1"/>
  <c r="O41" i="2" s="1"/>
  <c r="AH40" i="2"/>
  <c r="AY40" i="2" l="1"/>
  <c r="P41" i="2" s="1"/>
  <c r="AI40" i="2"/>
  <c r="AZ40" i="2" l="1"/>
  <c r="Q41" i="2" s="1"/>
  <c r="AJ40" i="2"/>
  <c r="BA40" i="2" s="1"/>
  <c r="R41" i="2" s="1"/>
  <c r="S41" i="2" s="1"/>
  <c r="T41" i="2" s="1"/>
  <c r="AK41" i="2" l="1"/>
  <c r="B42" i="2" s="1"/>
  <c r="U41" i="2"/>
  <c r="BB41" i="2"/>
  <c r="W41" i="2" l="1"/>
  <c r="AL41" i="2"/>
  <c r="C42" i="2" s="1"/>
  <c r="H29" i="1"/>
  <c r="L29" i="1"/>
  <c r="V41" i="2"/>
  <c r="AM41" i="2" s="1"/>
  <c r="D42" i="2" s="1"/>
  <c r="AN41" i="2" l="1"/>
  <c r="E42" i="2" s="1"/>
  <c r="X41" i="2"/>
  <c r="AO41" i="2" l="1"/>
  <c r="F42" i="2" s="1"/>
  <c r="Y41" i="2"/>
  <c r="AP41" i="2" l="1"/>
  <c r="G42" i="2" s="1"/>
  <c r="Z41" i="2"/>
  <c r="AA41" i="2"/>
  <c r="AR41" i="2" s="1"/>
  <c r="I42" i="2" s="1"/>
  <c r="AQ41" i="2" l="1"/>
  <c r="H42" i="2" s="1"/>
  <c r="AB41" i="2"/>
  <c r="AS41" i="2" l="1"/>
  <c r="J42" i="2" s="1"/>
  <c r="AC41" i="2"/>
  <c r="AD41" i="2"/>
  <c r="AU41" i="2" s="1"/>
  <c r="L42" i="2" s="1"/>
  <c r="AE41" i="2"/>
  <c r="AT41" i="2" l="1"/>
  <c r="K42" i="2" s="1"/>
  <c r="AF41" i="2"/>
  <c r="AV41" i="2"/>
  <c r="M42" i="2" s="1"/>
  <c r="AW41" i="2"/>
  <c r="N42" i="2" s="1"/>
  <c r="AG41" i="2"/>
  <c r="AH41" i="2"/>
  <c r="AY41" i="2" s="1"/>
  <c r="P42" i="2" s="1"/>
  <c r="AX41" i="2" l="1"/>
  <c r="O42" i="2" s="1"/>
  <c r="AI41" i="2"/>
  <c r="AZ41" i="2"/>
  <c r="Q42" i="2" s="1"/>
  <c r="AJ41" i="2"/>
  <c r="BA41" i="2" s="1"/>
  <c r="R42" i="2" s="1"/>
  <c r="S42" i="2" s="1"/>
  <c r="T42" i="2" s="1"/>
  <c r="U42" i="2" l="1"/>
  <c r="AK42" i="2"/>
  <c r="B43" i="2" s="1"/>
  <c r="BB42" i="2"/>
  <c r="V42" i="2"/>
  <c r="AM42" i="2" s="1"/>
  <c r="D43" i="2" s="1"/>
  <c r="W42" i="2"/>
  <c r="H30" i="1" l="1"/>
  <c r="L30" i="1"/>
  <c r="AL42" i="2"/>
  <c r="C43" i="2" s="1"/>
  <c r="AN42" i="2"/>
  <c r="E43" i="2" s="1"/>
  <c r="X42" i="2"/>
  <c r="AO42" i="2" l="1"/>
  <c r="F43" i="2" s="1"/>
  <c r="Y42" i="2"/>
  <c r="Z42" i="2" s="1"/>
  <c r="AP42" i="2" l="1"/>
  <c r="G43" i="2" s="1"/>
  <c r="AQ42" i="2"/>
  <c r="H43" i="2" s="1"/>
  <c r="AA42" i="2"/>
  <c r="AB42" i="2"/>
  <c r="AS42" i="2" s="1"/>
  <c r="J43" i="2" s="1"/>
  <c r="AC42" i="2" l="1"/>
  <c r="AD42" i="2"/>
  <c r="AU42" i="2"/>
  <c r="L43" i="2" s="1"/>
  <c r="AR42" i="2"/>
  <c r="I43" i="2" s="1"/>
  <c r="AE42" i="2"/>
  <c r="AT42" i="2" l="1"/>
  <c r="K43" i="2" s="1"/>
  <c r="AF42" i="2"/>
  <c r="AV42" i="2"/>
  <c r="M43" i="2" s="1"/>
  <c r="AW42" i="2" l="1"/>
  <c r="N43" i="2" s="1"/>
  <c r="AG42" i="2"/>
  <c r="AH42" i="2" l="1"/>
  <c r="AX42" i="2"/>
  <c r="O43" i="2" s="1"/>
  <c r="AY42" i="2" l="1"/>
  <c r="P43" i="2" s="1"/>
  <c r="AJ42" i="2"/>
  <c r="BA42" i="2" s="1"/>
  <c r="R43" i="2" s="1"/>
  <c r="AI42" i="2"/>
  <c r="AZ42" i="2" s="1"/>
  <c r="Q43" i="2" s="1"/>
  <c r="S43" i="2" s="1"/>
  <c r="T43" i="2" s="1"/>
  <c r="AK43" i="2" l="1"/>
  <c r="B44" i="2" s="1"/>
  <c r="U43" i="2"/>
  <c r="BB43" i="2" s="1"/>
  <c r="H31" i="1" l="1"/>
  <c r="L31" i="1"/>
  <c r="V43" i="2"/>
  <c r="AL43" i="2"/>
  <c r="C44" i="2" s="1"/>
  <c r="W43" i="2" l="1"/>
  <c r="AM43" i="2"/>
  <c r="D44" i="2" s="1"/>
  <c r="AN43" i="2" l="1"/>
  <c r="E44" i="2" s="1"/>
  <c r="X43" i="2"/>
  <c r="AO43" i="2" l="1"/>
  <c r="F44" i="2" s="1"/>
  <c r="Y43" i="2"/>
  <c r="Z43" i="2" l="1"/>
  <c r="AP43" i="2"/>
  <c r="G44" i="2" s="1"/>
  <c r="AA43" i="2" l="1"/>
  <c r="AQ43" i="2"/>
  <c r="H44" i="2" s="1"/>
  <c r="AB43" i="2" l="1"/>
  <c r="AR43" i="2"/>
  <c r="I44" i="2" s="1"/>
  <c r="AC43" i="2" l="1"/>
  <c r="AS43" i="2"/>
  <c r="J44" i="2" s="1"/>
  <c r="AT43" i="2" l="1"/>
  <c r="K44" i="2" s="1"/>
  <c r="AD43" i="2"/>
  <c r="AE43" i="2" l="1"/>
  <c r="AU43" i="2"/>
  <c r="L44" i="2" s="1"/>
  <c r="AF43" i="2" l="1"/>
  <c r="AV43" i="2"/>
  <c r="M44" i="2" s="1"/>
  <c r="AW43" i="2" l="1"/>
  <c r="N44" i="2" s="1"/>
  <c r="AH43" i="2"/>
  <c r="AG43" i="2"/>
  <c r="AX43" i="2" s="1"/>
  <c r="O44" i="2" s="1"/>
  <c r="AY43" i="2" l="1"/>
  <c r="P44" i="2" s="1"/>
  <c r="AI43" i="2"/>
  <c r="AZ43" i="2" s="1"/>
  <c r="Q44" i="2" s="1"/>
  <c r="AJ43" i="2"/>
  <c r="BA43" i="2" s="1"/>
  <c r="R44" i="2" s="1"/>
  <c r="S44" i="2" s="1"/>
  <c r="T44" i="2" s="1"/>
  <c r="BB44" i="2" l="1"/>
  <c r="AK44" i="2"/>
  <c r="B45" i="2" s="1"/>
  <c r="U44" i="2"/>
  <c r="L32" i="1" l="1"/>
  <c r="H32" i="1"/>
  <c r="AL44" i="2"/>
  <c r="C45" i="2" s="1"/>
  <c r="V44" i="2"/>
  <c r="W44" i="2" l="1"/>
  <c r="AM44" i="2"/>
  <c r="D45" i="2" s="1"/>
  <c r="X44" i="2"/>
  <c r="Y44" i="2"/>
  <c r="AN44" i="2" l="1"/>
  <c r="E45" i="2" s="1"/>
  <c r="AO44" i="2"/>
  <c r="F45" i="2" s="1"/>
  <c r="Z44" i="2"/>
  <c r="AP44" i="2"/>
  <c r="G45" i="2" s="1"/>
  <c r="AA44" i="2" l="1"/>
  <c r="AQ44" i="2"/>
  <c r="H45" i="2" s="1"/>
  <c r="AR44" i="2" l="1"/>
  <c r="I45" i="2" s="1"/>
  <c r="AB44" i="2"/>
  <c r="AS44" i="2" l="1"/>
  <c r="J45" i="2" s="1"/>
  <c r="AD44" i="2"/>
  <c r="AC44" i="2"/>
  <c r="AU44" i="2" l="1"/>
  <c r="L45" i="2" s="1"/>
  <c r="AF44" i="2"/>
  <c r="AT44" i="2"/>
  <c r="K45" i="2" s="1"/>
  <c r="AE44" i="2"/>
  <c r="AG44" i="2" s="1"/>
  <c r="AX44" i="2" s="1"/>
  <c r="O45" i="2" s="1"/>
  <c r="AH44" i="2" l="1"/>
  <c r="AV44" i="2"/>
  <c r="M45" i="2" s="1"/>
  <c r="AW44" i="2"/>
  <c r="N45" i="2" s="1"/>
  <c r="AY44" i="2" l="1"/>
  <c r="P45" i="2" s="1"/>
  <c r="AI44" i="2"/>
  <c r="AJ44" i="2" l="1"/>
  <c r="BA44" i="2" s="1"/>
  <c r="R45" i="2" s="1"/>
  <c r="AZ44" i="2"/>
  <c r="Q45" i="2" s="1"/>
  <c r="S45" i="2" l="1"/>
  <c r="T45" i="2" s="1"/>
  <c r="AK45" i="2" l="1"/>
  <c r="B46" i="2" s="1"/>
  <c r="U45" i="2"/>
  <c r="V45" i="2"/>
  <c r="AM45" i="2" s="1"/>
  <c r="D46" i="2" s="1"/>
  <c r="BB45" i="2"/>
  <c r="W45" i="2"/>
  <c r="X45" i="2" l="1"/>
  <c r="AL45" i="2"/>
  <c r="C46" i="2" s="1"/>
  <c r="H33" i="1"/>
  <c r="L33" i="1"/>
  <c r="AN45" i="2"/>
  <c r="E46" i="2" s="1"/>
  <c r="AO45" i="2" l="1"/>
  <c r="F46" i="2" s="1"/>
  <c r="Y45" i="2"/>
  <c r="AP45" i="2" l="1"/>
  <c r="G46" i="2" s="1"/>
  <c r="Z45" i="2"/>
  <c r="AA45" i="2" l="1"/>
  <c r="AQ45" i="2"/>
  <c r="H46" i="2" s="1"/>
  <c r="AB45" i="2"/>
  <c r="AR45" i="2" l="1"/>
  <c r="I46" i="2" s="1"/>
  <c r="AC45" i="2"/>
  <c r="AS45" i="2"/>
  <c r="J46" i="2" s="1"/>
  <c r="AD45" i="2" l="1"/>
  <c r="AT45" i="2"/>
  <c r="K46" i="2" s="1"/>
  <c r="AE45" i="2" l="1"/>
  <c r="AU45" i="2"/>
  <c r="L46" i="2" s="1"/>
  <c r="AF45" i="2" l="1"/>
  <c r="AV45" i="2"/>
  <c r="M46" i="2" s="1"/>
  <c r="AG45" i="2" l="1"/>
  <c r="AW45" i="2"/>
  <c r="N46" i="2" s="1"/>
  <c r="AH45" i="2" l="1"/>
  <c r="AX45" i="2"/>
  <c r="O46" i="2" s="1"/>
  <c r="AI45" i="2" l="1"/>
  <c r="AY45" i="2"/>
  <c r="P46" i="2" s="1"/>
  <c r="AJ45" i="2" l="1"/>
  <c r="BA45" i="2" s="1"/>
  <c r="R46" i="2" s="1"/>
  <c r="S46" i="2" s="1"/>
  <c r="T46" i="2" s="1"/>
  <c r="AZ45" i="2"/>
  <c r="Q46" i="2" s="1"/>
  <c r="U46" i="2" l="1"/>
  <c r="AK46" i="2"/>
  <c r="B47" i="2" s="1"/>
  <c r="BB46" i="2"/>
  <c r="V46" i="2"/>
  <c r="AM46" i="2" s="1"/>
  <c r="D47" i="2" s="1"/>
  <c r="L34" i="1" l="1"/>
  <c r="H34" i="1"/>
  <c r="AL46" i="2"/>
  <c r="C47" i="2" s="1"/>
  <c r="W46" i="2"/>
  <c r="AN46" i="2" l="1"/>
  <c r="E47" i="2" s="1"/>
  <c r="X46" i="2"/>
  <c r="Y46" i="2" l="1"/>
  <c r="AO46" i="2"/>
  <c r="F47" i="2" s="1"/>
  <c r="Z46" i="2" l="1"/>
  <c r="AA46" i="2" s="1"/>
  <c r="AP46" i="2"/>
  <c r="G47" i="2" s="1"/>
  <c r="AB46" i="2" l="1"/>
  <c r="AQ46" i="2"/>
  <c r="H47" i="2" s="1"/>
  <c r="AR46" i="2"/>
  <c r="I47" i="2" s="1"/>
  <c r="AS46" i="2" l="1"/>
  <c r="J47" i="2" s="1"/>
  <c r="AC46" i="2"/>
  <c r="AD46" i="2"/>
  <c r="AT46" i="2" l="1"/>
  <c r="K47" i="2" s="1"/>
  <c r="AU46" i="2"/>
  <c r="L47" i="2" s="1"/>
  <c r="AE46" i="2"/>
  <c r="AF46" i="2" l="1"/>
  <c r="AG46" i="2"/>
  <c r="AX46" i="2" s="1"/>
  <c r="O47" i="2" s="1"/>
  <c r="AH46" i="2"/>
  <c r="AV46" i="2"/>
  <c r="M47" i="2" s="1"/>
  <c r="AI46" i="2" l="1"/>
  <c r="AZ46" i="2" s="1"/>
  <c r="Q47" i="2" s="1"/>
  <c r="AW46" i="2"/>
  <c r="N47" i="2" s="1"/>
  <c r="AY46" i="2"/>
  <c r="P47" i="2" s="1"/>
  <c r="AJ46" i="2"/>
  <c r="BA46" i="2" s="1"/>
  <c r="R47" i="2" s="1"/>
  <c r="S47" i="2" s="1"/>
  <c r="T47" i="2" s="1"/>
  <c r="U47" i="2" l="1"/>
  <c r="AK47" i="2"/>
  <c r="B48" i="2" s="1"/>
  <c r="AL47" i="2" l="1"/>
  <c r="C48" i="2" s="1"/>
  <c r="BB47" i="2"/>
  <c r="V47" i="2"/>
  <c r="H35" i="1" l="1"/>
  <c r="L35" i="1"/>
  <c r="W47" i="2"/>
  <c r="AM47" i="2"/>
  <c r="D48" i="2" s="1"/>
  <c r="X47" i="2" l="1"/>
  <c r="AN47" i="2"/>
  <c r="E48" i="2" s="1"/>
  <c r="AO47" i="2" l="1"/>
  <c r="F48" i="2" s="1"/>
  <c r="Y47" i="2"/>
  <c r="Z47" i="2" l="1"/>
  <c r="AP47" i="2"/>
  <c r="G48" i="2" s="1"/>
  <c r="AB47" i="2" l="1"/>
  <c r="AS47" i="2" s="1"/>
  <c r="J48" i="2" s="1"/>
  <c r="AA47" i="2"/>
  <c r="AQ47" i="2"/>
  <c r="H48" i="2" s="1"/>
  <c r="AE47" i="2" l="1"/>
  <c r="AV47" i="2" s="1"/>
  <c r="M48" i="2" s="1"/>
  <c r="AC47" i="2"/>
  <c r="AT47" i="2" s="1"/>
  <c r="K48" i="2" s="1"/>
  <c r="AR47" i="2"/>
  <c r="I48" i="2" s="1"/>
  <c r="AD47" i="2"/>
  <c r="AU47" i="2" s="1"/>
  <c r="L48" i="2" s="1"/>
  <c r="AF47" i="2"/>
  <c r="AW47" i="2" s="1"/>
  <c r="N48" i="2" s="1"/>
  <c r="AG47" i="2"/>
  <c r="AH47" i="2" l="1"/>
  <c r="AI47" i="2"/>
  <c r="AZ47" i="2" s="1"/>
  <c r="Q48" i="2" s="1"/>
  <c r="AX47" i="2"/>
  <c r="O48" i="2" s="1"/>
  <c r="AJ47" i="2" l="1"/>
  <c r="BA47" i="2" s="1"/>
  <c r="R48" i="2" s="1"/>
  <c r="AY47" i="2"/>
  <c r="P48" i="2" s="1"/>
  <c r="S48" i="2" l="1"/>
  <c r="T48" i="2" s="1"/>
  <c r="U48" i="2" l="1"/>
  <c r="V48" i="2" s="1"/>
  <c r="AK48" i="2"/>
  <c r="B49" i="2" s="1"/>
  <c r="BB48" i="2"/>
  <c r="AL48" i="2" l="1"/>
  <c r="C49" i="2" s="1"/>
  <c r="H36" i="1"/>
  <c r="L36" i="1"/>
  <c r="AM48" i="2"/>
  <c r="D49" i="2" s="1"/>
  <c r="W48" i="2"/>
  <c r="AN48" i="2" l="1"/>
  <c r="E49" i="2" s="1"/>
  <c r="X48" i="2"/>
  <c r="Y48" i="2" s="1"/>
  <c r="AO48" i="2"/>
  <c r="F49" i="2" s="1"/>
  <c r="Z48" i="2"/>
  <c r="AP48" i="2"/>
  <c r="G49" i="2" s="1"/>
  <c r="AQ48" i="2" l="1"/>
  <c r="H49" i="2" s="1"/>
  <c r="AA48" i="2"/>
  <c r="AB48" i="2" l="1"/>
  <c r="AR48" i="2"/>
  <c r="I49" i="2" s="1"/>
  <c r="AC48" i="2" l="1"/>
  <c r="AS48" i="2"/>
  <c r="J49" i="2" s="1"/>
  <c r="AT48" i="2" l="1"/>
  <c r="K49" i="2" s="1"/>
  <c r="AD48" i="2"/>
  <c r="AE48" i="2" s="1"/>
  <c r="AV48" i="2" s="1"/>
  <c r="M49" i="2" s="1"/>
  <c r="AU48" i="2" l="1"/>
  <c r="L49" i="2" s="1"/>
  <c r="AF48" i="2"/>
  <c r="AG48" i="2"/>
  <c r="AW48" i="2" l="1"/>
  <c r="N49" i="2" s="1"/>
  <c r="AH48" i="2"/>
  <c r="AX48" i="2"/>
  <c r="O49" i="2" s="1"/>
  <c r="AY48" i="2" l="1"/>
  <c r="P49" i="2" s="1"/>
  <c r="AI48" i="2"/>
  <c r="AJ48" i="2" l="1"/>
  <c r="BA48" i="2" s="1"/>
  <c r="R49" i="2" s="1"/>
  <c r="S49" i="2" s="1"/>
  <c r="T49" i="2" s="1"/>
  <c r="AZ48" i="2"/>
  <c r="Q49" i="2" s="1"/>
  <c r="U49" i="2" l="1"/>
  <c r="AK49" i="2"/>
  <c r="B50" i="2" s="1"/>
  <c r="AL49" i="2" l="1"/>
  <c r="C50" i="2" s="1"/>
  <c r="V49" i="2"/>
  <c r="W49" i="2"/>
  <c r="AN49" i="2" s="1"/>
  <c r="E50" i="2" s="1"/>
  <c r="BB49" i="2"/>
  <c r="X49" i="2" l="1"/>
  <c r="AM49" i="2"/>
  <c r="D50" i="2" s="1"/>
  <c r="H37" i="1"/>
  <c r="L37" i="1"/>
  <c r="AO49" i="2" l="1"/>
  <c r="F50" i="2" s="1"/>
  <c r="Y49" i="2"/>
  <c r="Z49" i="2" l="1"/>
  <c r="AP49" i="2"/>
  <c r="G50" i="2" s="1"/>
  <c r="AA49" i="2" l="1"/>
  <c r="AQ49" i="2"/>
  <c r="H50" i="2" s="1"/>
  <c r="AR49" i="2" l="1"/>
  <c r="I50" i="2" s="1"/>
  <c r="AB49" i="2"/>
  <c r="AC49" i="2" l="1"/>
  <c r="AD49" i="2"/>
  <c r="AU49" i="2" s="1"/>
  <c r="L50" i="2" s="1"/>
  <c r="AS49" i="2"/>
  <c r="J50" i="2" s="1"/>
  <c r="AE49" i="2" l="1"/>
  <c r="AT49" i="2"/>
  <c r="K50" i="2" s="1"/>
  <c r="AV49" i="2" l="1"/>
  <c r="M50" i="2" s="1"/>
  <c r="AF49" i="2"/>
  <c r="AG49" i="2" s="1"/>
  <c r="AH49" i="2" l="1"/>
  <c r="AW49" i="2"/>
  <c r="N50" i="2" s="1"/>
  <c r="AX49" i="2"/>
  <c r="O50" i="2" s="1"/>
  <c r="AY49" i="2" l="1"/>
  <c r="P50" i="2" s="1"/>
  <c r="AI49" i="2"/>
  <c r="AZ49" i="2" l="1"/>
  <c r="Q50" i="2" s="1"/>
  <c r="AJ49" i="2"/>
  <c r="BA49" i="2" s="1"/>
  <c r="R50" i="2" s="1"/>
  <c r="S50" i="2" s="1"/>
  <c r="T50" i="2" s="1"/>
  <c r="AK50" i="2" l="1"/>
  <c r="B51" i="2" s="1"/>
  <c r="U50" i="2"/>
  <c r="BB50" i="2"/>
  <c r="L38" i="1" s="1"/>
  <c r="H38" i="1"/>
  <c r="V50" i="2" l="1"/>
  <c r="AM50" i="2" s="1"/>
  <c r="D51" i="2" s="1"/>
  <c r="AL50" i="2"/>
  <c r="C51" i="2" s="1"/>
  <c r="W50" i="2"/>
  <c r="AN50" i="2"/>
  <c r="E51" i="2" s="1"/>
  <c r="X50" i="2"/>
  <c r="AO50" i="2" s="1"/>
  <c r="F51" i="2" s="1"/>
  <c r="Y50" i="2"/>
  <c r="AP50" i="2" s="1"/>
  <c r="G51" i="2" s="1"/>
  <c r="Z50" i="2" l="1"/>
  <c r="AQ50" i="2" l="1"/>
  <c r="H51" i="2" s="1"/>
  <c r="AA50" i="2"/>
  <c r="AB50" i="2"/>
  <c r="AS50" i="2"/>
  <c r="J51" i="2" s="1"/>
  <c r="AC50" i="2"/>
  <c r="AT50" i="2" s="1"/>
  <c r="K51" i="2" s="1"/>
  <c r="AD50" i="2"/>
  <c r="AU50" i="2" s="1"/>
  <c r="L51" i="2" s="1"/>
  <c r="AR50" i="2" l="1"/>
  <c r="I51" i="2" s="1"/>
  <c r="AE50" i="2"/>
  <c r="AF50" i="2"/>
  <c r="AW50" i="2" s="1"/>
  <c r="N51" i="2" s="1"/>
  <c r="AG50" i="2"/>
  <c r="AV50" i="2" l="1"/>
  <c r="M51" i="2" s="1"/>
  <c r="AH50" i="2"/>
  <c r="AY50" i="2" s="1"/>
  <c r="P51" i="2" s="1"/>
  <c r="AX50" i="2"/>
  <c r="O51" i="2" s="1"/>
  <c r="AI50" i="2"/>
  <c r="AZ50" i="2" l="1"/>
  <c r="Q51" i="2" s="1"/>
  <c r="AJ50" i="2"/>
  <c r="BA50" i="2" s="1"/>
  <c r="R51" i="2" s="1"/>
  <c r="S51" i="2" s="1"/>
  <c r="T51" i="2" s="1"/>
  <c r="AK51" i="2" l="1"/>
  <c r="B52" i="2" s="1"/>
  <c r="U51" i="2"/>
  <c r="AL51" i="2" s="1"/>
  <c r="C52" i="2" s="1"/>
  <c r="BB51" i="2"/>
  <c r="V51" i="2"/>
  <c r="AM51" i="2" s="1"/>
  <c r="D52" i="2" s="1"/>
  <c r="W51" i="2" l="1"/>
  <c r="L39" i="1"/>
  <c r="H39" i="1"/>
  <c r="AN51" i="2" l="1"/>
  <c r="E52" i="2" s="1"/>
  <c r="X51" i="2"/>
  <c r="AO51" i="2" s="1"/>
  <c r="F52" i="2" s="1"/>
  <c r="Y51" i="2"/>
  <c r="Z51" i="2"/>
  <c r="AQ51" i="2" s="1"/>
  <c r="H52" i="2" s="1"/>
  <c r="AP51" i="2" l="1"/>
  <c r="G52" i="2" s="1"/>
  <c r="AA51" i="2"/>
  <c r="AB51" i="2" s="1"/>
  <c r="AS51" i="2" s="1"/>
  <c r="J52" i="2" s="1"/>
  <c r="AC51" i="2" l="1"/>
  <c r="AD51" i="2" s="1"/>
  <c r="AR51" i="2"/>
  <c r="I52" i="2" s="1"/>
  <c r="AE51" i="2" l="1"/>
  <c r="AU51" i="2"/>
  <c r="L52" i="2" s="1"/>
  <c r="AT51" i="2"/>
  <c r="K52" i="2" s="1"/>
  <c r="AV51" i="2" l="1"/>
  <c r="M52" i="2" s="1"/>
  <c r="AF51" i="2"/>
  <c r="AW51" i="2" l="1"/>
  <c r="N52" i="2" s="1"/>
  <c r="AG51" i="2"/>
  <c r="AX51" i="2" l="1"/>
  <c r="O52" i="2" s="1"/>
  <c r="AH51" i="2"/>
  <c r="AY51" i="2" l="1"/>
  <c r="P52" i="2" s="1"/>
  <c r="AI51" i="2"/>
  <c r="AZ51" i="2" l="1"/>
  <c r="Q52" i="2" s="1"/>
  <c r="AJ51" i="2"/>
  <c r="BA51" i="2" s="1"/>
  <c r="R52" i="2" s="1"/>
  <c r="S52" i="2" s="1"/>
  <c r="T52" i="2" s="1"/>
  <c r="U52" i="2" l="1"/>
  <c r="AK52" i="2"/>
  <c r="B53" i="2" s="1"/>
  <c r="V52" i="2"/>
  <c r="BB52" i="2"/>
  <c r="L40" i="1"/>
  <c r="H40" i="1"/>
  <c r="AM52" i="2"/>
  <c r="D53" i="2" s="1"/>
  <c r="AL52" i="2" l="1"/>
  <c r="C53" i="2" s="1"/>
  <c r="W52" i="2"/>
  <c r="AN52" i="2" s="1"/>
  <c r="E53" i="2" s="1"/>
  <c r="X52" i="2"/>
  <c r="AO52" i="2" l="1"/>
  <c r="F53" i="2" s="1"/>
  <c r="Y52" i="2"/>
  <c r="AP52" i="2" l="1"/>
  <c r="G53" i="2" s="1"/>
  <c r="Z52" i="2"/>
  <c r="AQ52" i="2" s="1"/>
  <c r="H53" i="2" s="1"/>
  <c r="AA52" i="2" l="1"/>
  <c r="AB52" i="2"/>
  <c r="AS52" i="2" s="1"/>
  <c r="J53" i="2" s="1"/>
  <c r="AR52" i="2" l="1"/>
  <c r="I53" i="2" s="1"/>
  <c r="AC52" i="2"/>
  <c r="AD52" i="2" s="1"/>
  <c r="AU52" i="2" l="1"/>
  <c r="L53" i="2" s="1"/>
  <c r="AE52" i="2"/>
  <c r="AT52" i="2"/>
  <c r="K53" i="2" s="1"/>
  <c r="AF52" i="2"/>
  <c r="AW52" i="2" s="1"/>
  <c r="N53" i="2" s="1"/>
  <c r="AV52" i="2" l="1"/>
  <c r="M53" i="2" s="1"/>
  <c r="AG52" i="2"/>
  <c r="AX52" i="2" l="1"/>
  <c r="O53" i="2" s="1"/>
  <c r="AH52" i="2"/>
  <c r="AY52" i="2" l="1"/>
  <c r="P53" i="2" s="1"/>
  <c r="AI52" i="2"/>
  <c r="AJ52" i="2" l="1"/>
  <c r="BA52" i="2" s="1"/>
  <c r="R53" i="2" s="1"/>
  <c r="S53" i="2" s="1"/>
  <c r="T53" i="2" s="1"/>
  <c r="AZ52" i="2"/>
  <c r="Q53" i="2" s="1"/>
  <c r="U53" i="2" l="1"/>
  <c r="BB53" i="2" s="1"/>
  <c r="AK53" i="2"/>
  <c r="B54" i="2" s="1"/>
  <c r="H41" i="1" l="1"/>
  <c r="L41" i="1"/>
  <c r="AL53" i="2"/>
  <c r="C54" i="2" s="1"/>
  <c r="V53" i="2"/>
  <c r="AM53" i="2" l="1"/>
  <c r="D54" i="2" s="1"/>
  <c r="W53" i="2"/>
  <c r="X53" i="2"/>
  <c r="AO53" i="2" s="1"/>
  <c r="F54" i="2" s="1"/>
  <c r="AN53" i="2" l="1"/>
  <c r="E54" i="2" s="1"/>
  <c r="Y53" i="2"/>
  <c r="AP53" i="2" s="1"/>
  <c r="G54" i="2" s="1"/>
  <c r="Z53" i="2"/>
  <c r="AA53" i="2" s="1"/>
  <c r="AQ53" i="2"/>
  <c r="H54" i="2" s="1"/>
  <c r="AB53" i="2" l="1"/>
  <c r="AC53" i="2" s="1"/>
  <c r="AR53" i="2"/>
  <c r="I54" i="2" s="1"/>
  <c r="AS53" i="2"/>
  <c r="J54" i="2" s="1"/>
  <c r="AT53" i="2" l="1"/>
  <c r="K54" i="2" s="1"/>
  <c r="AD53" i="2"/>
  <c r="AU53" i="2" s="1"/>
  <c r="L54" i="2" s="1"/>
  <c r="AE53" i="2" l="1"/>
  <c r="AF53" i="2"/>
  <c r="AW53" i="2" s="1"/>
  <c r="N54" i="2" s="1"/>
  <c r="AV53" i="2" l="1"/>
  <c r="M54" i="2" s="1"/>
  <c r="AG53" i="2"/>
  <c r="AH53" i="2"/>
  <c r="AY53" i="2" s="1"/>
  <c r="P54" i="2" s="1"/>
  <c r="AX53" i="2" l="1"/>
  <c r="O54" i="2" s="1"/>
  <c r="AI53" i="2"/>
  <c r="AZ53" i="2" s="1"/>
  <c r="Q54" i="2" s="1"/>
  <c r="AJ53" i="2"/>
  <c r="BA53" i="2" s="1"/>
  <c r="R54" i="2" s="1"/>
  <c r="S54" i="2" s="1"/>
  <c r="T54" i="2" s="1"/>
  <c r="AK54" i="2" l="1"/>
  <c r="B55" i="2" s="1"/>
  <c r="U54" i="2"/>
  <c r="BB54" i="2"/>
  <c r="V54" i="2"/>
  <c r="AM54" i="2" s="1"/>
  <c r="D55" i="2" s="1"/>
  <c r="AL54" i="2" l="1"/>
  <c r="C55" i="2" s="1"/>
  <c r="W54" i="2"/>
  <c r="AN54" i="2" s="1"/>
  <c r="E55" i="2" s="1"/>
  <c r="X54" i="2"/>
  <c r="AO54" i="2" s="1"/>
  <c r="F55" i="2" s="1"/>
  <c r="L42" i="1"/>
  <c r="H42" i="1"/>
  <c r="Y54" i="2"/>
  <c r="AP54" i="2" s="1"/>
  <c r="G55" i="2" s="1"/>
  <c r="Z54" i="2" l="1"/>
  <c r="AA54" i="2" l="1"/>
  <c r="AQ54" i="2"/>
  <c r="H55" i="2" s="1"/>
  <c r="AR54" i="2" l="1"/>
  <c r="I55" i="2" s="1"/>
  <c r="AB54" i="2"/>
  <c r="AC54" i="2" s="1"/>
  <c r="AT54" i="2" s="1"/>
  <c r="K55" i="2" s="1"/>
  <c r="AD54" i="2" l="1"/>
  <c r="AS54" i="2"/>
  <c r="J55" i="2" s="1"/>
  <c r="AE54" i="2" l="1"/>
  <c r="AU54" i="2"/>
  <c r="L55" i="2" s="1"/>
  <c r="AF54" i="2" l="1"/>
  <c r="AW54" i="2" s="1"/>
  <c r="N55" i="2" s="1"/>
  <c r="AV54" i="2"/>
  <c r="M55" i="2" s="1"/>
  <c r="AG54" i="2"/>
  <c r="AH54" i="2"/>
  <c r="AX54" i="2"/>
  <c r="O55" i="2" s="1"/>
  <c r="AY54" i="2" l="1"/>
  <c r="P55" i="2" s="1"/>
  <c r="AI54" i="2"/>
  <c r="AZ54" i="2" s="1"/>
  <c r="Q55" i="2" s="1"/>
  <c r="AJ54" i="2"/>
  <c r="BA54" i="2" s="1"/>
  <c r="R55" i="2" s="1"/>
  <c r="S55" i="2" s="1"/>
  <c r="T55" i="2" s="1"/>
  <c r="AK55" i="2" l="1"/>
  <c r="B56" i="2" s="1"/>
  <c r="U55" i="2"/>
  <c r="AL55" i="2" l="1"/>
  <c r="C56" i="2" s="1"/>
  <c r="BB55" i="2"/>
  <c r="V55" i="2"/>
  <c r="L43" i="1" l="1"/>
  <c r="H43" i="1"/>
  <c r="AM55" i="2"/>
  <c r="D56" i="2" s="1"/>
  <c r="W55" i="2"/>
  <c r="AN55" i="2" l="1"/>
  <c r="E56" i="2" s="1"/>
  <c r="X55" i="2"/>
  <c r="AO55" i="2" l="1"/>
  <c r="F56" i="2" s="1"/>
  <c r="Y55" i="2"/>
  <c r="AP55" i="2" s="1"/>
  <c r="G56" i="2" s="1"/>
  <c r="Z55" i="2"/>
  <c r="AA55" i="2" s="1"/>
  <c r="AR55" i="2" s="1"/>
  <c r="I56" i="2" s="1"/>
  <c r="AB55" i="2" l="1"/>
  <c r="AQ55" i="2"/>
  <c r="H56" i="2" s="1"/>
  <c r="AS55" i="2" l="1"/>
  <c r="J56" i="2" s="1"/>
  <c r="AC55" i="2"/>
  <c r="AD55" i="2" s="1"/>
  <c r="AU55" i="2" s="1"/>
  <c r="L56" i="2" s="1"/>
  <c r="AT55" i="2" l="1"/>
  <c r="K56" i="2" s="1"/>
  <c r="AE55" i="2"/>
  <c r="AV55" i="2" l="1"/>
  <c r="M56" i="2" s="1"/>
  <c r="AF55" i="2"/>
  <c r="AW55" i="2" l="1"/>
  <c r="N56" i="2" s="1"/>
  <c r="AG55" i="2"/>
  <c r="AH55" i="2" s="1"/>
  <c r="AY55" i="2" s="1"/>
  <c r="P56" i="2" s="1"/>
  <c r="AX55" i="2"/>
  <c r="O56" i="2" s="1"/>
  <c r="AI55" i="2" l="1"/>
  <c r="AZ55" i="2" l="1"/>
  <c r="Q56" i="2" s="1"/>
  <c r="AJ55" i="2"/>
  <c r="BA55" i="2" s="1"/>
  <c r="R56" i="2" s="1"/>
  <c r="S56" i="2" l="1"/>
  <c r="T56" i="2" s="1"/>
  <c r="U56" i="2" l="1"/>
  <c r="AK56" i="2"/>
  <c r="B57" i="2" s="1"/>
  <c r="BB56" i="2"/>
  <c r="AL56" i="2" l="1"/>
  <c r="C57" i="2" s="1"/>
  <c r="V56" i="2"/>
  <c r="L44" i="1"/>
  <c r="H44" i="1"/>
  <c r="W56" i="2" l="1"/>
  <c r="AM56" i="2"/>
  <c r="D57" i="2" s="1"/>
  <c r="X56" i="2"/>
  <c r="AA56" i="2" s="1"/>
  <c r="Y56" i="2"/>
  <c r="AP56" i="2" s="1"/>
  <c r="G57" i="2" s="1"/>
  <c r="Z56" i="2"/>
  <c r="AQ56" i="2" s="1"/>
  <c r="H57" i="2" s="1"/>
  <c r="AN56" i="2"/>
  <c r="E57" i="2" s="1"/>
  <c r="AO56" i="2" l="1"/>
  <c r="F57" i="2" s="1"/>
  <c r="AB56" i="2"/>
  <c r="AR56" i="2"/>
  <c r="I57" i="2" s="1"/>
  <c r="AS56" i="2" l="1"/>
  <c r="J57" i="2" s="1"/>
  <c r="AC56" i="2"/>
  <c r="AD56" i="2" l="1"/>
  <c r="AT56" i="2"/>
  <c r="K57" i="2" s="1"/>
  <c r="AE56" i="2" l="1"/>
  <c r="AF56" i="2" s="1"/>
  <c r="AU56" i="2"/>
  <c r="L57" i="2" s="1"/>
  <c r="AV56" i="2" l="1"/>
  <c r="M57" i="2" s="1"/>
  <c r="AW56" i="2"/>
  <c r="N57" i="2" s="1"/>
  <c r="AG56" i="2"/>
  <c r="AH56" i="2"/>
  <c r="AX56" i="2" l="1"/>
  <c r="O57" i="2" s="1"/>
  <c r="AI56" i="2"/>
  <c r="AY56" i="2"/>
  <c r="P57" i="2" s="1"/>
  <c r="AZ56" i="2" l="1"/>
  <c r="Q57" i="2" s="1"/>
  <c r="AJ56" i="2"/>
  <c r="BA56" i="2" s="1"/>
  <c r="R57" i="2" s="1"/>
  <c r="S57" i="2" s="1"/>
  <c r="T57" i="2" s="1"/>
  <c r="AK57" i="2" l="1"/>
  <c r="B58" i="2" s="1"/>
  <c r="U57" i="2"/>
  <c r="BB57" i="2"/>
  <c r="AL57" i="2" l="1"/>
  <c r="C58" i="2" s="1"/>
  <c r="V57" i="2"/>
  <c r="H45" i="1"/>
  <c r="L45" i="1"/>
  <c r="W57" i="2" l="1"/>
  <c r="AM57" i="2"/>
  <c r="D58" i="2" s="1"/>
  <c r="X57" i="2" l="1"/>
  <c r="AN57" i="2"/>
  <c r="E58" i="2" s="1"/>
  <c r="AO57" i="2" l="1"/>
  <c r="F58" i="2" s="1"/>
  <c r="Y57" i="2"/>
  <c r="AP57" i="2" l="1"/>
  <c r="G58" i="2" s="1"/>
  <c r="Z57" i="2"/>
  <c r="AA57" i="2" l="1"/>
  <c r="AQ57" i="2"/>
  <c r="H58" i="2" s="1"/>
  <c r="AR57" i="2" l="1"/>
  <c r="I58" i="2" s="1"/>
  <c r="AB57" i="2"/>
  <c r="AS57" i="2" l="1"/>
  <c r="J58" i="2" s="1"/>
  <c r="AC57" i="2"/>
  <c r="AD57" i="2"/>
  <c r="AU57" i="2" s="1"/>
  <c r="L58" i="2" s="1"/>
  <c r="AE57" i="2"/>
  <c r="AV57" i="2" s="1"/>
  <c r="M58" i="2" s="1"/>
  <c r="AF57" i="2"/>
  <c r="AW57" i="2" s="1"/>
  <c r="N58" i="2" s="1"/>
  <c r="AG57" i="2"/>
  <c r="AX57" i="2" s="1"/>
  <c r="O58" i="2" s="1"/>
  <c r="AH57" i="2"/>
  <c r="AY57" i="2" s="1"/>
  <c r="P58" i="2" s="1"/>
  <c r="AI57" i="2" l="1"/>
  <c r="AT57" i="2"/>
  <c r="K58" i="2" s="1"/>
  <c r="AZ57" i="2" l="1"/>
  <c r="Q58" i="2" s="1"/>
  <c r="AJ57" i="2"/>
  <c r="BA57" i="2" s="1"/>
  <c r="R58" i="2" s="1"/>
  <c r="S58" i="2" s="1"/>
  <c r="T58" i="2" s="1"/>
  <c r="BB58" i="2" l="1"/>
  <c r="U58" i="2"/>
  <c r="AK58" i="2"/>
  <c r="B59" i="2" s="1"/>
  <c r="V58" i="2"/>
  <c r="H46" i="1" l="1"/>
  <c r="L46" i="1"/>
  <c r="AL58" i="2"/>
  <c r="C59" i="2" s="1"/>
  <c r="AM58" i="2"/>
  <c r="D59" i="2" s="1"/>
  <c r="W58" i="2"/>
  <c r="X58" i="2" l="1"/>
  <c r="AN58" i="2"/>
  <c r="E59" i="2" s="1"/>
  <c r="Y58" i="2"/>
  <c r="AO58" i="2" l="1"/>
  <c r="F59" i="2" s="1"/>
  <c r="AP58" i="2"/>
  <c r="G59" i="2" s="1"/>
  <c r="Z58" i="2"/>
  <c r="AB58" i="2" l="1"/>
  <c r="AQ58" i="2"/>
  <c r="H59" i="2" s="1"/>
  <c r="AA58" i="2"/>
  <c r="AC58" i="2" l="1"/>
  <c r="AS58" i="2"/>
  <c r="J59" i="2" s="1"/>
  <c r="AR58" i="2"/>
  <c r="I59" i="2" s="1"/>
  <c r="AT58" i="2" l="1"/>
  <c r="K59" i="2" s="1"/>
  <c r="AD58" i="2"/>
  <c r="AU58" i="2" l="1"/>
  <c r="L59" i="2" s="1"/>
  <c r="AE58" i="2"/>
  <c r="AF58" i="2" l="1"/>
  <c r="AV58" i="2"/>
  <c r="M59" i="2" s="1"/>
  <c r="AW58" i="2" l="1"/>
  <c r="N59" i="2" s="1"/>
  <c r="AG58" i="2"/>
  <c r="AI58" i="2" s="1"/>
  <c r="AZ58" i="2" s="1"/>
  <c r="Q59" i="2" s="1"/>
  <c r="AH58" i="2"/>
  <c r="AY58" i="2" s="1"/>
  <c r="P59" i="2" s="1"/>
  <c r="AJ58" i="2" l="1"/>
  <c r="BA58" i="2" s="1"/>
  <c r="R59" i="2" s="1"/>
  <c r="S59" i="2" s="1"/>
  <c r="T59" i="2" s="1"/>
  <c r="AX58" i="2"/>
  <c r="O59" i="2" s="1"/>
  <c r="V59" i="2" l="1"/>
  <c r="AM59" i="2" s="1"/>
  <c r="D60" i="2" s="1"/>
  <c r="U59" i="2"/>
  <c r="BB59" i="2"/>
  <c r="AK59" i="2"/>
  <c r="B60" i="2" s="1"/>
  <c r="AL59" i="2" l="1"/>
  <c r="C60" i="2" s="1"/>
  <c r="L47" i="1"/>
  <c r="H47" i="1"/>
  <c r="W59" i="2"/>
  <c r="AN59" i="2" l="1"/>
  <c r="E60" i="2" s="1"/>
  <c r="X59" i="2"/>
  <c r="AO59" i="2" l="1"/>
  <c r="F60" i="2" s="1"/>
  <c r="Y59" i="2"/>
  <c r="AP59" i="2" l="1"/>
  <c r="G60" i="2" s="1"/>
  <c r="Z59" i="2"/>
  <c r="AA59" i="2"/>
  <c r="AQ59" i="2" l="1"/>
  <c r="H60" i="2" s="1"/>
  <c r="AB59" i="2"/>
  <c r="AR59" i="2"/>
  <c r="I60" i="2" s="1"/>
  <c r="AC59" i="2"/>
  <c r="AT59" i="2" s="1"/>
  <c r="K60" i="2" s="1"/>
  <c r="AD59" i="2"/>
  <c r="AU59" i="2" s="1"/>
  <c r="L60" i="2" s="1"/>
  <c r="AE59" i="2"/>
  <c r="AV59" i="2" s="1"/>
  <c r="M60" i="2" s="1"/>
  <c r="AG59" i="2" l="1"/>
  <c r="AF59" i="2"/>
  <c r="AH59" i="2" s="1"/>
  <c r="AY59" i="2" s="1"/>
  <c r="P60" i="2" s="1"/>
  <c r="AS59" i="2"/>
  <c r="J60" i="2" s="1"/>
  <c r="AI59" i="2" l="1"/>
  <c r="AW59" i="2"/>
  <c r="N60" i="2" s="1"/>
  <c r="AX59" i="2"/>
  <c r="O60" i="2" s="1"/>
  <c r="AZ59" i="2" l="1"/>
  <c r="Q60" i="2" s="1"/>
  <c r="AJ59" i="2"/>
  <c r="BA59" i="2" s="1"/>
  <c r="R60" i="2" s="1"/>
  <c r="S60" i="2" s="1"/>
  <c r="T60" i="2" s="1"/>
  <c r="U60" i="2" l="1"/>
  <c r="AK60" i="2"/>
  <c r="B61" i="2" s="1"/>
  <c r="AL60" i="2" l="1"/>
  <c r="C61" i="2" s="1"/>
  <c r="BB60" i="2"/>
  <c r="V60" i="2"/>
  <c r="W60" i="2"/>
  <c r="AN60" i="2" s="1"/>
  <c r="E61" i="2" s="1"/>
  <c r="L48" i="1" l="1"/>
  <c r="AM60" i="2"/>
  <c r="D61" i="2" s="1"/>
  <c r="X60" i="2"/>
  <c r="AO60" i="2" l="1"/>
  <c r="F61" i="2" s="1"/>
  <c r="Y60" i="2"/>
  <c r="AP60" i="2" s="1"/>
  <c r="G61" i="2" s="1"/>
  <c r="Z60" i="2"/>
  <c r="AQ60" i="2" l="1"/>
  <c r="H61" i="2" s="1"/>
  <c r="AA60" i="2"/>
  <c r="AR60" i="2" l="1"/>
  <c r="I61" i="2" s="1"/>
  <c r="AB60" i="2"/>
  <c r="AC60" i="2" l="1"/>
  <c r="AS60" i="2"/>
  <c r="J61" i="2" s="1"/>
  <c r="AT60" i="2" l="1"/>
  <c r="K61" i="2" s="1"/>
  <c r="AD60" i="2"/>
  <c r="AE60" i="2"/>
  <c r="AV60" i="2" s="1"/>
  <c r="M61" i="2" s="1"/>
  <c r="AU60" i="2" l="1"/>
  <c r="L61" i="2" s="1"/>
  <c r="AF60" i="2"/>
  <c r="AG60" i="2"/>
  <c r="AW60" i="2" l="1"/>
  <c r="N61" i="2" s="1"/>
  <c r="AI60" i="2"/>
  <c r="AZ60" i="2" s="1"/>
  <c r="Q61" i="2" s="1"/>
  <c r="AX60" i="2"/>
  <c r="O61" i="2" s="1"/>
  <c r="AH60" i="2"/>
  <c r="AJ60" i="2" l="1"/>
  <c r="BA60" i="2" s="1"/>
  <c r="R61" i="2" s="1"/>
  <c r="S61" i="2" s="1"/>
  <c r="T61" i="2" s="1"/>
  <c r="AY60" i="2"/>
  <c r="P61" i="2" s="1"/>
  <c r="BB61" i="2" l="1"/>
  <c r="U61" i="2"/>
  <c r="AK61" i="2"/>
  <c r="B62" i="2" s="1"/>
  <c r="L49" i="1" l="1"/>
  <c r="V61" i="2"/>
  <c r="AL61" i="2"/>
  <c r="C62" i="2" s="1"/>
  <c r="AM61" i="2" l="1"/>
  <c r="D62" i="2" s="1"/>
  <c r="W61" i="2"/>
  <c r="Y61" i="2" s="1"/>
  <c r="X61" i="2"/>
  <c r="AO61" i="2" s="1"/>
  <c r="F62" i="2" s="1"/>
  <c r="AN61" i="2" l="1"/>
  <c r="E62" i="2" s="1"/>
  <c r="Z61" i="2"/>
  <c r="AP61" i="2"/>
  <c r="G62" i="2" s="1"/>
  <c r="AQ61" i="2" l="1"/>
  <c r="H62" i="2" s="1"/>
  <c r="AB61" i="2"/>
  <c r="AA61" i="2"/>
  <c r="AR61" i="2" s="1"/>
  <c r="I62" i="2" s="1"/>
  <c r="AS61" i="2" l="1"/>
  <c r="J62" i="2" s="1"/>
  <c r="AC61" i="2"/>
  <c r="AD61" i="2" l="1"/>
  <c r="AT61" i="2"/>
  <c r="K62" i="2" s="1"/>
  <c r="AU61" i="2" l="1"/>
  <c r="L62" i="2" s="1"/>
  <c r="AF61" i="2"/>
  <c r="AE61" i="2"/>
  <c r="AG61" i="2" l="1"/>
  <c r="AW61" i="2"/>
  <c r="N62" i="2" s="1"/>
  <c r="AV61" i="2"/>
  <c r="M62" i="2" s="1"/>
  <c r="AH61" i="2" l="1"/>
  <c r="AX61" i="2"/>
  <c r="O62" i="2" s="1"/>
  <c r="H50" i="1"/>
  <c r="AI61" i="2" l="1"/>
  <c r="AY61" i="2"/>
  <c r="P62" i="2" s="1"/>
  <c r="AJ61" i="2" l="1"/>
  <c r="BA61" i="2" s="1"/>
  <c r="R62" i="2" s="1"/>
  <c r="AZ61" i="2"/>
  <c r="Q62" i="2" s="1"/>
  <c r="S62" i="2" l="1"/>
  <c r="T62" i="2" s="1"/>
  <c r="U62" i="2" l="1"/>
  <c r="AK62" i="2"/>
  <c r="B63" i="2" s="1"/>
  <c r="AL62" i="2" l="1"/>
  <c r="C63" i="2" s="1"/>
  <c r="V62" i="2"/>
  <c r="BB62" i="2"/>
  <c r="L50" i="1" s="1"/>
  <c r="AM62" i="2" l="1"/>
  <c r="D63" i="2" s="1"/>
  <c r="X62" i="2"/>
  <c r="W62" i="2"/>
  <c r="AN62" i="2" l="1"/>
  <c r="E63" i="2" s="1"/>
  <c r="AO62" i="2"/>
  <c r="F63" i="2" s="1"/>
  <c r="Y62" i="2"/>
  <c r="Z62" i="2" l="1"/>
  <c r="AA62" i="2"/>
  <c r="AR62" i="2" s="1"/>
  <c r="I63" i="2" s="1"/>
  <c r="AP62" i="2"/>
  <c r="G63" i="2" s="1"/>
  <c r="AQ62" i="2" l="1"/>
  <c r="H63" i="2" s="1"/>
  <c r="AB62" i="2"/>
  <c r="AC62" i="2"/>
  <c r="AD62" i="2" l="1"/>
  <c r="AS62" i="2"/>
  <c r="J63" i="2" s="1"/>
  <c r="AT62" i="2"/>
  <c r="K63" i="2" s="1"/>
  <c r="AU62" i="2" l="1"/>
  <c r="L63" i="2" s="1"/>
  <c r="AE62" i="2"/>
  <c r="AV62" i="2" l="1"/>
  <c r="M63" i="2" s="1"/>
  <c r="AF62" i="2"/>
  <c r="H51" i="1"/>
  <c r="AG62" i="2" l="1"/>
  <c r="AW62" i="2"/>
  <c r="N63" i="2" s="1"/>
  <c r="AX62" i="2" l="1"/>
  <c r="O63" i="2" s="1"/>
  <c r="AH62" i="2"/>
  <c r="AI62" i="2" s="1"/>
  <c r="AZ62" i="2" s="1"/>
  <c r="Q63" i="2" s="1"/>
  <c r="AJ62" i="2" l="1"/>
  <c r="BA62" i="2" s="1"/>
  <c r="R63" i="2" s="1"/>
  <c r="S63" i="2" s="1"/>
  <c r="T63" i="2" s="1"/>
  <c r="AY62" i="2"/>
  <c r="P63" i="2" s="1"/>
  <c r="U63" i="2" l="1"/>
  <c r="AK63" i="2"/>
  <c r="B64" i="2" s="1"/>
  <c r="V63" i="2"/>
  <c r="BB63" i="2"/>
  <c r="L51" i="1" s="1"/>
  <c r="AL63" i="2" l="1"/>
  <c r="C64" i="2" s="1"/>
  <c r="AM63" i="2"/>
  <c r="D64" i="2" s="1"/>
  <c r="W63" i="2"/>
  <c r="X63" i="2" l="1"/>
  <c r="AN63" i="2"/>
  <c r="E64" i="2" s="1"/>
  <c r="AO63" i="2" l="1"/>
  <c r="F64" i="2" s="1"/>
  <c r="Y63" i="2"/>
  <c r="Z63" i="2"/>
  <c r="AQ63" i="2" s="1"/>
  <c r="H64" i="2" s="1"/>
  <c r="AA63" i="2" l="1"/>
  <c r="AR63" i="2" s="1"/>
  <c r="I64" i="2" s="1"/>
  <c r="AP63" i="2"/>
  <c r="G64" i="2" s="1"/>
  <c r="AB63" i="2"/>
  <c r="AS63" i="2" l="1"/>
  <c r="J64" i="2" s="1"/>
  <c r="AC63" i="2"/>
  <c r="AD63" i="2"/>
  <c r="H52" i="1"/>
  <c r="AT63" i="2" l="1"/>
  <c r="K64" i="2" s="1"/>
  <c r="AU63" i="2"/>
  <c r="L64" i="2" s="1"/>
  <c r="AE63" i="2"/>
  <c r="AV63" i="2" l="1"/>
  <c r="M64" i="2" s="1"/>
  <c r="AF63" i="2"/>
  <c r="AI63" i="2" l="1"/>
  <c r="AZ63" i="2" s="1"/>
  <c r="Q64" i="2" s="1"/>
  <c r="AJ63" i="2"/>
  <c r="BA63" i="2" s="1"/>
  <c r="R64" i="2" s="1"/>
  <c r="AW63" i="2"/>
  <c r="N64" i="2" s="1"/>
  <c r="AG63" i="2"/>
  <c r="AX63" i="2" s="1"/>
  <c r="O64" i="2" s="1"/>
  <c r="AH63" i="2"/>
  <c r="AY63" i="2" s="1"/>
  <c r="P64" i="2" s="1"/>
  <c r="S64" i="2" l="1"/>
  <c r="T64" i="2" s="1"/>
  <c r="AK64" i="2" l="1"/>
  <c r="B65" i="2" s="1"/>
  <c r="U64" i="2"/>
  <c r="BB64" i="2"/>
  <c r="L52" i="1" s="1"/>
  <c r="AL64" i="2" l="1"/>
  <c r="C65" i="2" s="1"/>
  <c r="V64" i="2"/>
  <c r="X64" i="2" l="1"/>
  <c r="AM64" i="2"/>
  <c r="D65" i="2" s="1"/>
  <c r="W64" i="2"/>
  <c r="AN64" i="2" l="1"/>
  <c r="E65" i="2" s="1"/>
  <c r="AO64" i="2"/>
  <c r="F65" i="2" s="1"/>
  <c r="Y64" i="2"/>
  <c r="Z64" i="2" l="1"/>
  <c r="AP64" i="2"/>
  <c r="G65" i="2" s="1"/>
  <c r="AQ64" i="2" l="1"/>
  <c r="H65" i="2" s="1"/>
  <c r="AA64" i="2"/>
  <c r="AB64" i="2" l="1"/>
  <c r="AR64" i="2"/>
  <c r="I65" i="2" s="1"/>
  <c r="AC64" i="2"/>
  <c r="AS64" i="2" l="1"/>
  <c r="J65" i="2" s="1"/>
  <c r="AT64" i="2"/>
  <c r="K65" i="2" s="1"/>
  <c r="AD64" i="2"/>
  <c r="AE64" i="2" l="1"/>
  <c r="AF64" i="2"/>
  <c r="AW64" i="2" s="1"/>
  <c r="N65" i="2" s="1"/>
  <c r="AG64" i="2"/>
  <c r="AX64" i="2" s="1"/>
  <c r="O65" i="2" s="1"/>
  <c r="AU64" i="2"/>
  <c r="L65" i="2" s="1"/>
  <c r="H53" i="1"/>
  <c r="AH64" i="2" l="1"/>
  <c r="AV64" i="2"/>
  <c r="M65" i="2" s="1"/>
  <c r="AY64" i="2" l="1"/>
  <c r="P65" i="2" s="1"/>
  <c r="AI64" i="2"/>
  <c r="AJ64" i="2" l="1"/>
  <c r="BA64" i="2" s="1"/>
  <c r="R65" i="2" s="1"/>
  <c r="AZ64" i="2"/>
  <c r="Q65" i="2" s="1"/>
  <c r="S65" i="2" l="1"/>
  <c r="T65" i="2" s="1"/>
  <c r="BB65" i="2" l="1"/>
  <c r="L53" i="1" s="1"/>
  <c r="U65" i="2"/>
  <c r="AK65" i="2"/>
  <c r="B66" i="2" s="1"/>
  <c r="AL65" i="2" l="1"/>
  <c r="C66" i="2" s="1"/>
  <c r="V65" i="2"/>
  <c r="AM65" i="2" l="1"/>
  <c r="D66" i="2" s="1"/>
  <c r="W65" i="2"/>
  <c r="AN65" i="2" l="1"/>
  <c r="E66" i="2" s="1"/>
  <c r="X65" i="2"/>
  <c r="Y65" i="2" l="1"/>
  <c r="Z65" i="2"/>
  <c r="AO65" i="2"/>
  <c r="F66" i="2" s="1"/>
  <c r="AA65" i="2" l="1"/>
  <c r="AP65" i="2"/>
  <c r="G66" i="2" s="1"/>
  <c r="AQ65" i="2"/>
  <c r="H66" i="2" s="1"/>
  <c r="AB65" i="2"/>
  <c r="AD65" i="2" l="1"/>
  <c r="AR65" i="2"/>
  <c r="I66" i="2" s="1"/>
  <c r="AS65" i="2"/>
  <c r="J66" i="2" s="1"/>
  <c r="AC65" i="2"/>
  <c r="H54" i="1"/>
  <c r="AU65" i="2" l="1"/>
  <c r="L66" i="2" s="1"/>
  <c r="AE65" i="2"/>
  <c r="AT65" i="2"/>
  <c r="K66" i="2" s="1"/>
  <c r="AF65" i="2" l="1"/>
  <c r="AV65" i="2"/>
  <c r="M66" i="2" s="1"/>
  <c r="AG65" i="2"/>
  <c r="AH65" i="2" l="1"/>
  <c r="AY65" i="2" s="1"/>
  <c r="P66" i="2" s="1"/>
  <c r="AW65" i="2"/>
  <c r="N66" i="2" s="1"/>
  <c r="AX65" i="2"/>
  <c r="O66" i="2" s="1"/>
  <c r="AI65" i="2"/>
  <c r="AZ65" i="2" s="1"/>
  <c r="Q66" i="2" s="1"/>
  <c r="AJ65" i="2"/>
  <c r="BA65" i="2" s="1"/>
  <c r="R66" i="2" s="1"/>
  <c r="S66" i="2" s="1"/>
  <c r="T66" i="2" s="1"/>
  <c r="U66" i="2" l="1"/>
  <c r="AK66" i="2"/>
  <c r="B67" i="2" s="1"/>
  <c r="BB66" i="2"/>
  <c r="L54" i="1" s="1"/>
  <c r="AL66" i="2" l="1"/>
  <c r="C67" i="2" s="1"/>
  <c r="Q6" i="1"/>
  <c r="Q19" i="1"/>
  <c r="Q7" i="1"/>
  <c r="Q18" i="1"/>
  <c r="Q12" i="1"/>
  <c r="Q16" i="1"/>
  <c r="Q5" i="1"/>
  <c r="Q10" i="1"/>
  <c r="Q14" i="1"/>
  <c r="Q9" i="1"/>
  <c r="Q13" i="1"/>
  <c r="Q17" i="1"/>
  <c r="Q11" i="1"/>
  <c r="Q4" i="1"/>
  <c r="Q15" i="1"/>
  <c r="Q8" i="1"/>
  <c r="Q20" i="1"/>
  <c r="V66" i="2"/>
  <c r="Q21" i="1" l="1"/>
  <c r="AM66" i="2"/>
  <c r="D67" i="2" s="1"/>
  <c r="W66" i="2"/>
  <c r="AN66" i="2" l="1"/>
  <c r="E67" i="2" s="1"/>
  <c r="X66" i="2"/>
  <c r="Y66" i="2" l="1"/>
  <c r="AO66" i="2"/>
  <c r="F67" i="2" s="1"/>
  <c r="Z66" i="2"/>
  <c r="AQ66" i="2" s="1"/>
  <c r="H67" i="2" s="1"/>
  <c r="AA66" i="2" l="1"/>
  <c r="AP66" i="2"/>
  <c r="G67" i="2" s="1"/>
  <c r="AB66" i="2" l="1"/>
  <c r="AR66" i="2"/>
  <c r="I67" i="2" s="1"/>
  <c r="AC66" i="2"/>
  <c r="AS66" i="2" l="1"/>
  <c r="J67" i="2" s="1"/>
  <c r="AE66" i="2"/>
  <c r="AT66" i="2"/>
  <c r="K67" i="2" s="1"/>
  <c r="AD66" i="2"/>
  <c r="AU66" i="2" s="1"/>
  <c r="L67" i="2" s="1"/>
  <c r="AV66" i="2" l="1"/>
  <c r="M67" i="2" s="1"/>
  <c r="AF66" i="2"/>
  <c r="AW66" i="2" s="1"/>
  <c r="N67" i="2" s="1"/>
  <c r="AH66" i="2"/>
  <c r="AY66" i="2" s="1"/>
  <c r="P67" i="2" s="1"/>
  <c r="AG66" i="2"/>
  <c r="AX66" i="2" s="1"/>
  <c r="O67" i="2" s="1"/>
  <c r="AI66" i="2"/>
  <c r="AZ66" i="2" s="1"/>
  <c r="Q67" i="2" s="1"/>
  <c r="AJ66" i="2" l="1"/>
  <c r="BA66" i="2" s="1"/>
  <c r="R67" i="2" s="1"/>
  <c r="S67" i="2" s="1"/>
  <c r="T67" i="2" s="1"/>
  <c r="AK67" i="2" l="1"/>
  <c r="B68" i="2" s="1"/>
  <c r="U67" i="2"/>
  <c r="AL67" i="2" s="1"/>
  <c r="C68" i="2" s="1"/>
  <c r="BB67" i="2"/>
  <c r="H55" i="1" s="1"/>
  <c r="V67" i="2" l="1"/>
  <c r="AM67" i="2" l="1"/>
  <c r="D68" i="2" s="1"/>
  <c r="W67" i="2"/>
  <c r="AN67" i="2" l="1"/>
  <c r="E68" i="2" s="1"/>
  <c r="X67" i="2"/>
  <c r="AO67" i="2" l="1"/>
  <c r="F68" i="2" s="1"/>
  <c r="Y67" i="2"/>
  <c r="AP67" i="2" l="1"/>
  <c r="G68" i="2" s="1"/>
  <c r="Z67" i="2"/>
  <c r="AQ67" i="2" l="1"/>
  <c r="H68" i="2" s="1"/>
  <c r="AA67" i="2"/>
  <c r="AB67" i="2"/>
  <c r="AS67" i="2" s="1"/>
  <c r="J68" i="2" s="1"/>
  <c r="AR67" i="2" l="1"/>
  <c r="I68" i="2" s="1"/>
  <c r="AC67" i="2"/>
  <c r="AT67" i="2" s="1"/>
  <c r="K68" i="2" s="1"/>
  <c r="AD67" i="2" l="1"/>
  <c r="AE67" i="2"/>
  <c r="AV67" i="2" s="1"/>
  <c r="M68" i="2" s="1"/>
  <c r="AF67" i="2" l="1"/>
  <c r="AG67" i="2" s="1"/>
  <c r="AX67" i="2" s="1"/>
  <c r="O68" i="2" s="1"/>
  <c r="AU67" i="2"/>
  <c r="L68" i="2" s="1"/>
  <c r="AH67" i="2" l="1"/>
  <c r="AY67" i="2" s="1"/>
  <c r="P68" i="2" s="1"/>
  <c r="AI67" i="2"/>
  <c r="AW67" i="2"/>
  <c r="N68" i="2" s="1"/>
  <c r="AZ67" i="2" l="1"/>
  <c r="Q68" i="2" s="1"/>
  <c r="AJ67" i="2"/>
  <c r="BA67" i="2" s="1"/>
  <c r="R68" i="2" s="1"/>
  <c r="S68" i="2" s="1"/>
  <c r="T68" i="2" s="1"/>
  <c r="U68" i="2" l="1"/>
  <c r="AK68" i="2"/>
  <c r="B69" i="2" s="1"/>
  <c r="BB68" i="2"/>
  <c r="H56" i="1" s="1"/>
  <c r="AL68" i="2" l="1"/>
  <c r="C69" i="2" s="1"/>
  <c r="V68" i="2"/>
  <c r="AM68" i="2" l="1"/>
  <c r="D69" i="2" s="1"/>
  <c r="W68" i="2"/>
  <c r="AN68" i="2"/>
  <c r="E69" i="2" s="1"/>
  <c r="X68" i="2"/>
  <c r="AO68" i="2" l="1"/>
  <c r="F69" i="2" s="1"/>
  <c r="Y68" i="2"/>
  <c r="AP68" i="2" l="1"/>
  <c r="G69" i="2" s="1"/>
  <c r="Z68" i="2"/>
  <c r="AQ68" i="2" l="1"/>
  <c r="H69" i="2" s="1"/>
  <c r="AA68" i="2"/>
  <c r="AR68" i="2" l="1"/>
  <c r="I69" i="2" s="1"/>
  <c r="AB68" i="2"/>
  <c r="AS68" i="2" l="1"/>
  <c r="J69" i="2" s="1"/>
  <c r="AC68" i="2"/>
  <c r="AT68" i="2" l="1"/>
  <c r="K69" i="2" s="1"/>
  <c r="AD68" i="2"/>
  <c r="AU68" i="2" s="1"/>
  <c r="L69" i="2" s="1"/>
  <c r="AE68" i="2" l="1"/>
  <c r="AV68" i="2" l="1"/>
  <c r="M69" i="2" s="1"/>
  <c r="AF68" i="2"/>
  <c r="AW68" i="2" s="1"/>
  <c r="N69" i="2" s="1"/>
  <c r="AG68" i="2"/>
  <c r="AX68" i="2" s="1"/>
  <c r="O69" i="2" s="1"/>
  <c r="AH68" i="2" l="1"/>
  <c r="AY68" i="2" s="1"/>
  <c r="P69" i="2" s="1"/>
  <c r="AI68" i="2" l="1"/>
  <c r="AZ68" i="2" l="1"/>
  <c r="Q69" i="2" s="1"/>
  <c r="AJ68" i="2"/>
  <c r="BA68" i="2" s="1"/>
  <c r="R69" i="2" s="1"/>
  <c r="S69" i="2" s="1"/>
  <c r="T69" i="2" s="1"/>
  <c r="BB69" i="2" l="1"/>
  <c r="H57" i="1" s="1"/>
  <c r="AK69" i="2"/>
  <c r="B70" i="2" s="1"/>
  <c r="U69" i="2"/>
  <c r="AL69" i="2" s="1"/>
  <c r="C70" i="2" s="1"/>
  <c r="V69" i="2" l="1"/>
  <c r="AM69" i="2" l="1"/>
  <c r="D70" i="2" s="1"/>
  <c r="W69" i="2"/>
  <c r="X69" i="2" l="1"/>
  <c r="Y69" i="2" s="1"/>
  <c r="AP69" i="2" s="1"/>
  <c r="G70" i="2" s="1"/>
  <c r="AN69" i="2"/>
  <c r="E70" i="2" s="1"/>
  <c r="Z69" i="2" l="1"/>
  <c r="AQ69" i="2" s="1"/>
  <c r="H70" i="2" s="1"/>
  <c r="AA69" i="2"/>
  <c r="AR69" i="2" s="1"/>
  <c r="I70" i="2" s="1"/>
  <c r="AO69" i="2"/>
  <c r="F70" i="2" s="1"/>
  <c r="AB69" i="2" l="1"/>
  <c r="AS69" i="2" s="1"/>
  <c r="J70" i="2" s="1"/>
  <c r="AC69" i="2" l="1"/>
  <c r="AD69" i="2" l="1"/>
  <c r="AT69" i="2"/>
  <c r="K70" i="2" s="1"/>
  <c r="AU69" i="2" l="1"/>
  <c r="L70" i="2" s="1"/>
  <c r="AE69" i="2"/>
  <c r="AV69" i="2" l="1"/>
  <c r="M70" i="2" s="1"/>
  <c r="AF69" i="2"/>
  <c r="AW69" i="2" s="1"/>
  <c r="N70" i="2" s="1"/>
  <c r="AG69" i="2"/>
  <c r="AX69" i="2" s="1"/>
  <c r="O70" i="2" s="1"/>
  <c r="AH69" i="2" l="1"/>
  <c r="AY69" i="2" l="1"/>
  <c r="P70" i="2" s="1"/>
  <c r="AI69" i="2"/>
  <c r="AZ69" i="2" s="1"/>
  <c r="Q70" i="2" s="1"/>
  <c r="AJ69" i="2"/>
  <c r="BA69" i="2" s="1"/>
  <c r="R70" i="2" s="1"/>
  <c r="S70" i="2" s="1"/>
  <c r="T70" i="2" s="1"/>
  <c r="BB70" i="2" l="1"/>
  <c r="H58" i="1" s="1"/>
  <c r="AK70" i="2"/>
  <c r="B71" i="2" s="1"/>
  <c r="U70" i="2"/>
  <c r="AL70" i="2" s="1"/>
  <c r="C71" i="2" s="1"/>
  <c r="V70" i="2" l="1"/>
  <c r="AM70" i="2" l="1"/>
  <c r="D71" i="2" s="1"/>
  <c r="W70" i="2"/>
  <c r="AN70" i="2" s="1"/>
  <c r="E71" i="2" s="1"/>
  <c r="X70" i="2" l="1"/>
  <c r="Y70" i="2"/>
  <c r="AP70" i="2" s="1"/>
  <c r="G71" i="2" s="1"/>
  <c r="AO70" i="2" l="1"/>
  <c r="F71" i="2" s="1"/>
  <c r="Z70" i="2"/>
  <c r="AQ70" i="2" l="1"/>
  <c r="H71" i="2" s="1"/>
  <c r="AA70" i="2"/>
  <c r="AR70" i="2" s="1"/>
  <c r="I71" i="2" s="1"/>
  <c r="AB70" i="2" l="1"/>
  <c r="AS70" i="2" s="1"/>
  <c r="J71" i="2" s="1"/>
  <c r="AC70" i="2" l="1"/>
  <c r="AT70" i="2" l="1"/>
  <c r="K71" i="2" s="1"/>
  <c r="AD70" i="2"/>
  <c r="AU70" i="2" l="1"/>
  <c r="L71" i="2" s="1"/>
  <c r="AE70" i="2"/>
  <c r="AV70" i="2" l="1"/>
  <c r="M71" i="2" s="1"/>
  <c r="AF70" i="2"/>
  <c r="AW70" i="2" s="1"/>
  <c r="N71" i="2" s="1"/>
  <c r="AG70" i="2"/>
  <c r="AX70" i="2" s="1"/>
  <c r="O71" i="2" s="1"/>
  <c r="AH70" i="2"/>
  <c r="AY70" i="2" l="1"/>
  <c r="P71" i="2" s="1"/>
  <c r="AI70" i="2"/>
  <c r="AZ70" i="2" s="1"/>
  <c r="Q71" i="2" s="1"/>
  <c r="AJ70" i="2" l="1"/>
  <c r="BA70" i="2" s="1"/>
  <c r="R71" i="2" s="1"/>
  <c r="S71" i="2" s="1"/>
  <c r="T71" i="2" s="1"/>
  <c r="U71" i="2" l="1"/>
  <c r="AL71" i="2" s="1"/>
  <c r="C72" i="2" s="1"/>
  <c r="AK71" i="2"/>
  <c r="B72" i="2" s="1"/>
  <c r="V71" i="2" l="1"/>
  <c r="BB71" i="2"/>
  <c r="H59" i="1" s="1"/>
  <c r="W71" i="2" l="1"/>
  <c r="AM71" i="2"/>
  <c r="D72" i="2" s="1"/>
  <c r="X71" i="2"/>
  <c r="AO71" i="2" s="1"/>
  <c r="F72" i="2" s="1"/>
  <c r="AN71" i="2" l="1"/>
  <c r="E72" i="2" s="1"/>
  <c r="Y71" i="2"/>
  <c r="Z71" i="2"/>
  <c r="AQ71" i="2" s="1"/>
  <c r="H72" i="2" s="1"/>
  <c r="AP71" i="2" l="1"/>
  <c r="G72" i="2" s="1"/>
  <c r="AA71" i="2"/>
  <c r="AR71" i="2" l="1"/>
  <c r="I72" i="2" s="1"/>
  <c r="AB71" i="2"/>
  <c r="AS71" i="2" l="1"/>
  <c r="J72" i="2" s="1"/>
  <c r="AC71" i="2"/>
  <c r="AT71" i="2" s="1"/>
  <c r="K72" i="2" s="1"/>
  <c r="AD71" i="2"/>
  <c r="AU71" i="2" l="1"/>
  <c r="L72" i="2" s="1"/>
  <c r="AE71" i="2"/>
  <c r="AV71" i="2" l="1"/>
  <c r="M72" i="2" s="1"/>
  <c r="AF71" i="2"/>
  <c r="AW71" i="2" l="1"/>
  <c r="N72" i="2" s="1"/>
  <c r="AG71" i="2"/>
  <c r="AX71" i="2" s="1"/>
  <c r="O72" i="2" s="1"/>
  <c r="AH71" i="2"/>
  <c r="AY71" i="2" s="1"/>
  <c r="P72" i="2" s="1"/>
  <c r="AI71" i="2" l="1"/>
  <c r="AZ71" i="2" l="1"/>
  <c r="Q72" i="2" s="1"/>
  <c r="AJ71" i="2"/>
  <c r="BA71" i="2" s="1"/>
  <c r="R72" i="2" s="1"/>
  <c r="S72" i="2" s="1"/>
  <c r="T72" i="2" s="1"/>
  <c r="U72" i="2" l="1"/>
  <c r="AK72" i="2"/>
  <c r="B73" i="2" s="1"/>
  <c r="BB72" i="2"/>
  <c r="H60" i="1" s="1"/>
  <c r="AL72" i="2" l="1"/>
  <c r="C73" i="2" s="1"/>
  <c r="V72" i="2"/>
  <c r="AM72" i="2" l="1"/>
  <c r="D73" i="2" s="1"/>
  <c r="W72" i="2"/>
  <c r="X72" i="2"/>
  <c r="AO72" i="2"/>
  <c r="F73" i="2" s="1"/>
  <c r="AN72" i="2" l="1"/>
  <c r="E73" i="2" s="1"/>
  <c r="Y72" i="2"/>
  <c r="AP72" i="2"/>
  <c r="G73" i="2" s="1"/>
  <c r="Z72" i="2"/>
  <c r="AA72" i="2"/>
  <c r="AR72" i="2" s="1"/>
  <c r="I73" i="2" s="1"/>
  <c r="AB72" i="2" l="1"/>
  <c r="AS72" i="2" s="1"/>
  <c r="J73" i="2" s="1"/>
  <c r="AC72" i="2"/>
  <c r="AQ72" i="2"/>
  <c r="H73" i="2" s="1"/>
  <c r="AD72" i="2"/>
  <c r="AU72" i="2" s="1"/>
  <c r="L73" i="2" s="1"/>
  <c r="AE72" i="2"/>
  <c r="AV72" i="2" s="1"/>
  <c r="M73" i="2" s="1"/>
  <c r="AF72" i="2" l="1"/>
  <c r="AT72" i="2"/>
  <c r="K73" i="2" s="1"/>
  <c r="AW72" i="2" l="1"/>
  <c r="N73" i="2" s="1"/>
  <c r="AG72" i="2"/>
  <c r="AH72" i="2"/>
  <c r="AY72" i="2" s="1"/>
  <c r="P73" i="2" s="1"/>
  <c r="AX72" i="2" l="1"/>
  <c r="O73" i="2" s="1"/>
  <c r="AI72" i="2"/>
  <c r="AZ72" i="2" l="1"/>
  <c r="Q73" i="2" s="1"/>
  <c r="AJ72" i="2"/>
  <c r="BA72" i="2" s="1"/>
  <c r="R73" i="2" s="1"/>
  <c r="S73" i="2" s="1"/>
  <c r="T73" i="2" s="1"/>
  <c r="AK73" i="2" l="1"/>
  <c r="B74" i="2" s="1"/>
  <c r="U73" i="2"/>
  <c r="AL73" i="2" s="1"/>
  <c r="C74" i="2" s="1"/>
  <c r="V73" i="2" l="1"/>
  <c r="AM73" i="2" s="1"/>
  <c r="D74" i="2" s="1"/>
  <c r="BB73" i="2"/>
  <c r="H61" i="1" s="1"/>
  <c r="P5" i="1" s="1"/>
  <c r="W73" i="2" l="1"/>
  <c r="P16" i="1"/>
  <c r="P12" i="1"/>
  <c r="P4" i="1"/>
  <c r="P6" i="1"/>
  <c r="P20" i="1"/>
  <c r="P8" i="1"/>
  <c r="P9" i="1"/>
  <c r="P7" i="1"/>
  <c r="P14" i="1"/>
  <c r="P15" i="1"/>
  <c r="P10" i="1"/>
  <c r="P11" i="1"/>
  <c r="P18" i="1"/>
  <c r="P13" i="1"/>
  <c r="P19" i="1"/>
  <c r="P17" i="1"/>
  <c r="AN73" i="2" l="1"/>
  <c r="E74" i="2" s="1"/>
  <c r="X73" i="2"/>
  <c r="Y73" i="2"/>
  <c r="AP73" i="2" s="1"/>
  <c r="G74" i="2" s="1"/>
  <c r="AO73" i="2" l="1"/>
  <c r="F74" i="2" s="1"/>
  <c r="Z73" i="2"/>
  <c r="AQ73" i="2"/>
  <c r="H74" i="2" s="1"/>
  <c r="AA73" i="2"/>
  <c r="AB73" i="2"/>
  <c r="AS73" i="2" s="1"/>
  <c r="J74" i="2" s="1"/>
  <c r="AR73" i="2" l="1"/>
  <c r="I74" i="2" s="1"/>
  <c r="AC73" i="2"/>
  <c r="AD73" i="2" l="1"/>
  <c r="AU73" i="2" s="1"/>
  <c r="L74" i="2" s="1"/>
  <c r="AT73" i="2"/>
  <c r="K74" i="2" s="1"/>
  <c r="AE73" i="2" l="1"/>
  <c r="AV73" i="2" l="1"/>
  <c r="M74" i="2" s="1"/>
  <c r="AF73" i="2"/>
  <c r="AW73" i="2" l="1"/>
  <c r="N74" i="2" s="1"/>
  <c r="AG73" i="2"/>
  <c r="AX73" i="2" s="1"/>
  <c r="O74" i="2" s="1"/>
  <c r="AH73" i="2" l="1"/>
  <c r="AY73" i="2" l="1"/>
  <c r="P74" i="2" s="1"/>
  <c r="AI73" i="2"/>
  <c r="AZ73" i="2" s="1"/>
  <c r="Q74" i="2" s="1"/>
  <c r="AJ73" i="2" l="1"/>
  <c r="BA73" i="2" s="1"/>
  <c r="R74" i="2" s="1"/>
  <c r="S74" i="2" s="1"/>
  <c r="T74" i="2" s="1"/>
  <c r="AK74" i="2" l="1"/>
  <c r="B75" i="2" s="1"/>
  <c r="BB74" i="2"/>
  <c r="U74" i="2"/>
  <c r="AL74" i="2" s="1"/>
  <c r="C75" i="2" s="1"/>
  <c r="V74" i="2" l="1"/>
  <c r="AM74" i="2" l="1"/>
  <c r="D75" i="2" s="1"/>
  <c r="W74" i="2"/>
  <c r="X74" i="2" s="1"/>
  <c r="AO74" i="2" s="1"/>
  <c r="F75" i="2" s="1"/>
  <c r="AN74" i="2" l="1"/>
  <c r="E75" i="2" s="1"/>
  <c r="Y74" i="2"/>
  <c r="AP74" i="2" s="1"/>
  <c r="G75" i="2" s="1"/>
  <c r="Z74" i="2" l="1"/>
  <c r="AQ74" i="2" l="1"/>
  <c r="H75" i="2" s="1"/>
  <c r="AA74" i="2"/>
  <c r="AB74" i="2"/>
  <c r="AS74" i="2" s="1"/>
  <c r="J75" i="2" s="1"/>
  <c r="AR74" i="2" l="1"/>
  <c r="I75" i="2" s="1"/>
  <c r="AC74" i="2"/>
  <c r="AT74" i="2" l="1"/>
  <c r="K75" i="2" s="1"/>
  <c r="AD74" i="2"/>
  <c r="AU74" i="2" l="1"/>
  <c r="L75" i="2" s="1"/>
  <c r="AE74" i="2"/>
  <c r="AF74" i="2" l="1"/>
  <c r="AV74" i="2"/>
  <c r="M75" i="2" s="1"/>
  <c r="AG74" i="2" l="1"/>
  <c r="AX74" i="2" s="1"/>
  <c r="O75" i="2" s="1"/>
  <c r="AW74" i="2"/>
  <c r="N75" i="2" s="1"/>
  <c r="AH74" i="2"/>
  <c r="AY74" i="2" s="1"/>
  <c r="P75" i="2" s="1"/>
  <c r="AI74" i="2"/>
  <c r="AZ74" i="2" s="1"/>
  <c r="Q75" i="2" s="1"/>
  <c r="AJ74" i="2"/>
  <c r="BA74" i="2" s="1"/>
  <c r="R75" i="2" s="1"/>
  <c r="S75" i="2" s="1"/>
  <c r="T75" i="2" s="1"/>
  <c r="AK75" i="2"/>
  <c r="B76" i="2" s="1"/>
  <c r="U75" i="2"/>
  <c r="AL75" i="2" s="1"/>
  <c r="C76" i="2" s="1"/>
  <c r="BB75" i="2" l="1"/>
  <c r="V75" i="2"/>
  <c r="AM75" i="2" l="1"/>
  <c r="D76" i="2" s="1"/>
  <c r="W75" i="2"/>
  <c r="AN75" i="2" s="1"/>
  <c r="E76" i="2" s="1"/>
  <c r="X75" i="2"/>
  <c r="Y75" i="2" s="1"/>
  <c r="AP75" i="2" s="1"/>
  <c r="G76" i="2" s="1"/>
  <c r="AA75" i="2" l="1"/>
  <c r="AB75" i="2"/>
  <c r="AS75" i="2" s="1"/>
  <c r="J76" i="2" s="1"/>
  <c r="AO75" i="2"/>
  <c r="F76" i="2" s="1"/>
  <c r="Z75" i="2"/>
  <c r="AD75" i="2" l="1"/>
  <c r="AU75" i="2" s="1"/>
  <c r="L76" i="2" s="1"/>
  <c r="AR75" i="2"/>
  <c r="I76" i="2" s="1"/>
  <c r="AC75" i="2"/>
  <c r="AQ75" i="2"/>
  <c r="H76" i="2" s="1"/>
  <c r="AT75" i="2" l="1"/>
  <c r="K76" i="2" s="1"/>
  <c r="AE75" i="2"/>
  <c r="AV75" i="2" s="1"/>
  <c r="M76" i="2" s="1"/>
  <c r="AF75" i="2"/>
  <c r="AW75" i="2" l="1"/>
  <c r="N76" i="2" s="1"/>
  <c r="AG75" i="2"/>
  <c r="AX75" i="2" l="1"/>
  <c r="O76" i="2" s="1"/>
  <c r="AH75" i="2"/>
  <c r="AY75" i="2" s="1"/>
  <c r="P76" i="2" s="1"/>
  <c r="AI75" i="2" l="1"/>
  <c r="AZ75" i="2" s="1"/>
  <c r="Q76" i="2" s="1"/>
  <c r="AJ75" i="2" l="1"/>
  <c r="BA75" i="2" s="1"/>
  <c r="R76" i="2" s="1"/>
  <c r="S76" i="2" s="1"/>
  <c r="T76" i="2" s="1"/>
  <c r="AK76" i="2" l="1"/>
  <c r="B77" i="2" s="1"/>
  <c r="U76" i="2"/>
  <c r="AL76" i="2" s="1"/>
  <c r="C77" i="2" s="1"/>
  <c r="V76" i="2" l="1"/>
  <c r="W76" i="2" s="1"/>
  <c r="AN76" i="2" s="1"/>
  <c r="E77" i="2" s="1"/>
  <c r="BB76" i="2"/>
  <c r="X76" i="2" l="1"/>
  <c r="AM76" i="2"/>
  <c r="D77" i="2" s="1"/>
  <c r="AO76" i="2" l="1"/>
  <c r="F77" i="2" s="1"/>
  <c r="Y76" i="2"/>
  <c r="Z76" i="2" l="1"/>
  <c r="AP76" i="2"/>
  <c r="G77" i="2" s="1"/>
  <c r="AQ76" i="2" l="1"/>
  <c r="H77" i="2" s="1"/>
  <c r="AA76" i="2"/>
  <c r="AR76" i="2" l="1"/>
  <c r="I77" i="2" s="1"/>
  <c r="AB76" i="2"/>
  <c r="AS76" i="2" l="1"/>
  <c r="J77" i="2" s="1"/>
  <c r="AC76" i="2"/>
  <c r="AD76" i="2" l="1"/>
  <c r="AT76" i="2"/>
  <c r="K77" i="2" s="1"/>
  <c r="AU76" i="2" l="1"/>
  <c r="L77" i="2" s="1"/>
  <c r="AE76" i="2"/>
  <c r="AV76" i="2" l="1"/>
  <c r="M77" i="2" s="1"/>
  <c r="AF76" i="2"/>
  <c r="AG76" i="2"/>
  <c r="AX76" i="2" s="1"/>
  <c r="O77" i="2" s="1"/>
  <c r="AW76" i="2" l="1"/>
  <c r="N77" i="2" s="1"/>
  <c r="AH76" i="2"/>
  <c r="AY76" i="2" l="1"/>
  <c r="P77" i="2" s="1"/>
  <c r="AI76" i="2"/>
  <c r="AJ76" i="2" l="1"/>
  <c r="BA76" i="2" s="1"/>
  <c r="R77" i="2" s="1"/>
  <c r="S77" i="2" s="1"/>
  <c r="T77" i="2" s="1"/>
  <c r="AZ76" i="2"/>
  <c r="Q77" i="2" s="1"/>
  <c r="BB77" i="2" l="1"/>
  <c r="V77" i="2"/>
  <c r="U77" i="2"/>
  <c r="AK77" i="2"/>
  <c r="B78" i="2" s="1"/>
  <c r="W77" i="2" l="1"/>
  <c r="AL77" i="2"/>
  <c r="C78" i="2" s="1"/>
  <c r="AM77" i="2"/>
  <c r="D78" i="2" s="1"/>
  <c r="AN77" i="2" l="1"/>
  <c r="E78" i="2" s="1"/>
  <c r="X77" i="2"/>
  <c r="AO77" i="2" s="1"/>
  <c r="F78" i="2" s="1"/>
  <c r="Y77" i="2"/>
  <c r="AP77" i="2"/>
  <c r="G78" i="2" s="1"/>
  <c r="Z77" i="2"/>
  <c r="AQ77" i="2" s="1"/>
  <c r="H78" i="2" s="1"/>
  <c r="AA77" i="2"/>
  <c r="AB77" i="2"/>
  <c r="AS77" i="2" s="1"/>
  <c r="J78" i="2" s="1"/>
  <c r="AC77" i="2" l="1"/>
  <c r="AR77" i="2"/>
  <c r="I78" i="2" s="1"/>
  <c r="AT77" i="2" l="1"/>
  <c r="K78" i="2" s="1"/>
  <c r="AD77" i="2"/>
  <c r="AU77" i="2" l="1"/>
  <c r="L78" i="2" s="1"/>
  <c r="AE77" i="2"/>
  <c r="AV77" i="2" l="1"/>
  <c r="M78" i="2" s="1"/>
  <c r="AF77" i="2"/>
  <c r="AW77" i="2" s="1"/>
  <c r="N78" i="2" s="1"/>
  <c r="AG77" i="2"/>
  <c r="AX77" i="2" l="1"/>
  <c r="O78" i="2" s="1"/>
  <c r="AH77" i="2"/>
  <c r="AY77" i="2" l="1"/>
  <c r="P78" i="2" s="1"/>
  <c r="AI77" i="2"/>
  <c r="AZ77" i="2" l="1"/>
  <c r="Q78" i="2" s="1"/>
  <c r="AJ77" i="2"/>
  <c r="BA77" i="2" s="1"/>
  <c r="R78" i="2" s="1"/>
  <c r="S78" i="2" s="1"/>
  <c r="T78" i="2" s="1"/>
  <c r="AK78" i="2" l="1"/>
  <c r="B79" i="2" s="1"/>
  <c r="U78" i="2"/>
  <c r="BB78" i="2"/>
  <c r="AL78" i="2" l="1"/>
  <c r="C79" i="2" s="1"/>
  <c r="V78" i="2"/>
  <c r="AM78" i="2"/>
  <c r="D79" i="2" s="1"/>
  <c r="W78" i="2"/>
  <c r="AN78" i="2" s="1"/>
  <c r="E79" i="2" s="1"/>
  <c r="X78" i="2" l="1"/>
  <c r="AO78" i="2" l="1"/>
  <c r="F79" i="2" s="1"/>
  <c r="Y78" i="2"/>
  <c r="Z78" i="2"/>
  <c r="AQ78" i="2" s="1"/>
  <c r="H79" i="2" s="1"/>
  <c r="AA78" i="2" l="1"/>
  <c r="AP78" i="2"/>
  <c r="G79" i="2" s="1"/>
  <c r="AR78" i="2" l="1"/>
  <c r="I79" i="2" s="1"/>
  <c r="AB78" i="2"/>
  <c r="AS78" i="2" l="1"/>
  <c r="J79" i="2" s="1"/>
  <c r="AC78" i="2"/>
  <c r="AT78" i="2" l="1"/>
  <c r="K79" i="2" s="1"/>
  <c r="AD78" i="2"/>
  <c r="AU78" i="2" l="1"/>
  <c r="L79" i="2" s="1"/>
  <c r="AE78" i="2"/>
  <c r="AH78" i="2" s="1"/>
  <c r="AV78" i="2"/>
  <c r="M79" i="2" s="1"/>
  <c r="AF78" i="2"/>
  <c r="AW78" i="2" s="1"/>
  <c r="N79" i="2" s="1"/>
  <c r="AG78" i="2"/>
  <c r="AX78" i="2" s="1"/>
  <c r="O79" i="2" s="1"/>
  <c r="AY78" i="2" l="1"/>
  <c r="P79" i="2" s="1"/>
  <c r="AI78" i="2"/>
  <c r="AZ78" i="2" l="1"/>
  <c r="Q79" i="2" s="1"/>
  <c r="AJ78" i="2"/>
  <c r="BA78" i="2" s="1"/>
  <c r="R79" i="2" s="1"/>
  <c r="S79" i="2" s="1"/>
  <c r="T79" i="2" s="1"/>
  <c r="U79" i="2" s="1"/>
  <c r="AK79" i="2"/>
  <c r="B80" i="2" s="1"/>
  <c r="BB79" i="2" l="1"/>
  <c r="AL79" i="2"/>
  <c r="C80" i="2" s="1"/>
  <c r="V79" i="2"/>
  <c r="W79" i="2" s="1"/>
  <c r="X79" i="2" l="1"/>
  <c r="AN79" i="2"/>
  <c r="E80" i="2" s="1"/>
  <c r="AM79" i="2"/>
  <c r="D80" i="2" s="1"/>
  <c r="AO79" i="2" l="1"/>
  <c r="F80" i="2" s="1"/>
  <c r="Z79" i="2"/>
  <c r="AA79" i="2"/>
  <c r="AR79" i="2" s="1"/>
  <c r="I80" i="2" s="1"/>
  <c r="Y79" i="2"/>
  <c r="AQ79" i="2" l="1"/>
  <c r="H80" i="2" s="1"/>
  <c r="AP79" i="2"/>
  <c r="G80" i="2" s="1"/>
  <c r="AB79" i="2"/>
  <c r="AS79" i="2" l="1"/>
  <c r="J80" i="2" s="1"/>
  <c r="AC79" i="2"/>
  <c r="AD79" i="2"/>
  <c r="AU79" i="2" s="1"/>
  <c r="L80" i="2" s="1"/>
  <c r="AE79" i="2" l="1"/>
  <c r="AT79" i="2"/>
  <c r="K80" i="2" s="1"/>
  <c r="AV79" i="2" l="1"/>
  <c r="M80" i="2" s="1"/>
  <c r="AF79" i="2"/>
  <c r="AW79" i="2" l="1"/>
  <c r="N80" i="2" s="1"/>
  <c r="AG79" i="2"/>
  <c r="AX79" i="2"/>
  <c r="O80" i="2" s="1"/>
  <c r="AH79" i="2"/>
  <c r="AI79" i="2" l="1"/>
  <c r="AY79" i="2"/>
  <c r="P80" i="2" s="1"/>
  <c r="AZ79" i="2" l="1"/>
  <c r="Q80" i="2" s="1"/>
  <c r="AJ79" i="2"/>
  <c r="BA79" i="2" s="1"/>
  <c r="R80" i="2" s="1"/>
  <c r="S80" i="2" s="1"/>
  <c r="T80" i="2" s="1"/>
  <c r="U80" i="2" l="1"/>
  <c r="AK80" i="2"/>
  <c r="B81" i="2" s="1"/>
  <c r="BB80" i="2" l="1"/>
  <c r="V80" i="2"/>
  <c r="W80" i="2"/>
  <c r="AN80" i="2" s="1"/>
  <c r="E81" i="2" s="1"/>
  <c r="AL80" i="2"/>
  <c r="C81" i="2" s="1"/>
  <c r="X80" i="2"/>
  <c r="AO80" i="2" s="1"/>
  <c r="F81" i="2" s="1"/>
  <c r="Y80" i="2"/>
  <c r="Z80" i="2" s="1"/>
  <c r="AQ80" i="2" s="1"/>
  <c r="H81" i="2" s="1"/>
  <c r="AP80" i="2"/>
  <c r="G81" i="2" s="1"/>
  <c r="AM80" i="2" l="1"/>
  <c r="D81" i="2" s="1"/>
  <c r="AA80" i="2"/>
  <c r="AR80" i="2" s="1"/>
  <c r="I81" i="2" s="1"/>
  <c r="AB80" i="2"/>
  <c r="AS80" i="2" l="1"/>
  <c r="J81" i="2" s="1"/>
  <c r="AC80" i="2"/>
  <c r="AT80" i="2" l="1"/>
  <c r="K81" i="2" s="1"/>
  <c r="AD80" i="2"/>
  <c r="AE80" i="2" l="1"/>
  <c r="AU80" i="2"/>
  <c r="L81" i="2" s="1"/>
  <c r="AV80" i="2" l="1"/>
  <c r="M81" i="2" s="1"/>
  <c r="AF80" i="2"/>
  <c r="AW80" i="2" l="1"/>
  <c r="N81" i="2" s="1"/>
  <c r="AG80" i="2"/>
  <c r="AX80" i="2" l="1"/>
  <c r="O81" i="2" s="1"/>
  <c r="AH80" i="2"/>
  <c r="AI80" i="2"/>
  <c r="AZ80" i="2" s="1"/>
  <c r="Q81" i="2" s="1"/>
  <c r="AY80" i="2" l="1"/>
  <c r="P81" i="2" s="1"/>
  <c r="AJ80" i="2"/>
  <c r="BA80" i="2" s="1"/>
  <c r="R81" i="2" s="1"/>
  <c r="S81" i="2" s="1"/>
  <c r="T81" i="2" s="1"/>
  <c r="U81" i="2" l="1"/>
  <c r="AK81" i="2"/>
  <c r="B82" i="2" s="1"/>
  <c r="AL81" i="2" l="1"/>
  <c r="C82" i="2" s="1"/>
  <c r="V81" i="2"/>
  <c r="BB81" i="2"/>
  <c r="AM81" i="2" l="1"/>
  <c r="D82" i="2" s="1"/>
  <c r="W81" i="2"/>
  <c r="AN81" i="2"/>
  <c r="E82" i="2" s="1"/>
  <c r="X81" i="2"/>
  <c r="AO81" i="2" s="1"/>
  <c r="F82" i="2" s="1"/>
  <c r="Y81" i="2" l="1"/>
  <c r="AP81" i="2" l="1"/>
  <c r="G82" i="2" s="1"/>
  <c r="Z81" i="2"/>
  <c r="AQ81" i="2" l="1"/>
  <c r="H82" i="2" s="1"/>
  <c r="AA81" i="2"/>
  <c r="AR81" i="2" l="1"/>
  <c r="I82" i="2" s="1"/>
  <c r="AB81" i="2"/>
  <c r="AS81" i="2" s="1"/>
  <c r="J82" i="2" s="1"/>
  <c r="AC81" i="2" l="1"/>
  <c r="AT81" i="2" s="1"/>
  <c r="K82" i="2" s="1"/>
  <c r="AD81" i="2" l="1"/>
  <c r="AU81" i="2" l="1"/>
  <c r="L82" i="2" s="1"/>
  <c r="AE81" i="2"/>
  <c r="AV81" i="2" l="1"/>
  <c r="M82" i="2" s="1"/>
  <c r="AF81" i="2"/>
  <c r="AG81" i="2"/>
  <c r="AX81" i="2" s="1"/>
  <c r="O82" i="2" s="1"/>
  <c r="AW81" i="2" l="1"/>
  <c r="N82" i="2" s="1"/>
  <c r="AH81" i="2"/>
  <c r="AY81" i="2" s="1"/>
  <c r="P82" i="2" s="1"/>
  <c r="AI81" i="2"/>
  <c r="AZ81" i="2" s="1"/>
  <c r="Q82" i="2" s="1"/>
  <c r="AJ81" i="2"/>
  <c r="BA81" i="2" s="1"/>
  <c r="R82" i="2" s="1"/>
  <c r="S82" i="2" s="1"/>
  <c r="T82" i="2" s="1"/>
  <c r="U82" i="2" l="1"/>
  <c r="AL82" i="2" s="1"/>
  <c r="C83" i="2" s="1"/>
  <c r="BB82" i="2"/>
  <c r="AK82" i="2"/>
  <c r="B83" i="2" s="1"/>
  <c r="V82" i="2" l="1"/>
  <c r="AM82" i="2" l="1"/>
  <c r="D83" i="2" s="1"/>
  <c r="W82" i="2"/>
  <c r="X82" i="2"/>
  <c r="AO82" i="2" s="1"/>
  <c r="F83" i="2" s="1"/>
  <c r="AN82" i="2" l="1"/>
  <c r="E83" i="2" s="1"/>
  <c r="Y82" i="2"/>
  <c r="AP82" i="2" l="1"/>
  <c r="G83" i="2" s="1"/>
  <c r="Z82" i="2"/>
  <c r="AQ82" i="2" l="1"/>
  <c r="H83" i="2" s="1"/>
  <c r="AA82" i="2"/>
  <c r="AR82" i="2" l="1"/>
  <c r="I83" i="2" s="1"/>
  <c r="AB82" i="2"/>
  <c r="AC82" i="2" l="1"/>
  <c r="AT82" i="2" s="1"/>
  <c r="K83" i="2" s="1"/>
  <c r="AS82" i="2"/>
  <c r="J83" i="2" s="1"/>
  <c r="AD82" i="2" l="1"/>
  <c r="AU82" i="2" l="1"/>
  <c r="L83" i="2" s="1"/>
  <c r="AE82" i="2"/>
  <c r="AV82" i="2" l="1"/>
  <c r="M83" i="2" s="1"/>
  <c r="AF82" i="2"/>
  <c r="AW82" i="2" l="1"/>
  <c r="N83" i="2" s="1"/>
  <c r="AG82" i="2"/>
  <c r="AX82" i="2" l="1"/>
  <c r="O83" i="2" s="1"/>
  <c r="AH82" i="2"/>
  <c r="AY82" i="2" s="1"/>
  <c r="P83" i="2" s="1"/>
  <c r="AI82" i="2" l="1"/>
  <c r="AZ82" i="2" s="1"/>
  <c r="Q83" i="2" s="1"/>
  <c r="AJ82" i="2" l="1"/>
  <c r="BA82" i="2" s="1"/>
  <c r="R83" i="2" s="1"/>
  <c r="S83" i="2" s="1"/>
  <c r="T83" i="2" s="1"/>
  <c r="AK83" i="2" l="1"/>
  <c r="B84" i="2" s="1"/>
  <c r="U83" i="2"/>
  <c r="AL83" i="2" s="1"/>
  <c r="C84" i="2" s="1"/>
  <c r="V83" i="2" l="1"/>
  <c r="BB83" i="2"/>
  <c r="AM83" i="2" l="1"/>
  <c r="D84" i="2" s="1"/>
  <c r="W83" i="2"/>
  <c r="X83" i="2" s="1"/>
  <c r="AO83" i="2" s="1"/>
  <c r="F84" i="2" s="1"/>
  <c r="Y83" i="2" l="1"/>
  <c r="AN83" i="2"/>
  <c r="E84" i="2" s="1"/>
  <c r="AP83" i="2" l="1"/>
  <c r="G84" i="2" s="1"/>
  <c r="Z83" i="2"/>
  <c r="AQ83" i="2" l="1"/>
  <c r="H84" i="2" s="1"/>
  <c r="AA83" i="2"/>
  <c r="AR83" i="2" l="1"/>
  <c r="I84" i="2" s="1"/>
  <c r="AB83" i="2"/>
  <c r="AS83" i="2" l="1"/>
  <c r="J84" i="2" s="1"/>
  <c r="AC83" i="2"/>
  <c r="AT83" i="2" l="1"/>
  <c r="K84" i="2" s="1"/>
  <c r="AD83" i="2"/>
  <c r="AU83" i="2" l="1"/>
  <c r="L84" i="2" s="1"/>
  <c r="AE83" i="2"/>
  <c r="AV83" i="2" s="1"/>
  <c r="M84" i="2" s="1"/>
  <c r="AF83" i="2"/>
  <c r="AW83" i="2" l="1"/>
  <c r="N84" i="2" s="1"/>
  <c r="AG83" i="2"/>
  <c r="AX83" i="2" l="1"/>
  <c r="O84" i="2" s="1"/>
  <c r="AH83" i="2"/>
  <c r="AY83" i="2" l="1"/>
  <c r="P84" i="2" s="1"/>
  <c r="AI83" i="2"/>
  <c r="AZ83" i="2"/>
  <c r="Q84" i="2" s="1"/>
  <c r="AJ83" i="2"/>
  <c r="BA83" i="2" s="1"/>
  <c r="R84" i="2" s="1"/>
  <c r="S84" i="2" s="1"/>
  <c r="T84" i="2" s="1"/>
  <c r="U84" i="2" l="1"/>
  <c r="V84" i="2" s="1"/>
  <c r="AM84" i="2" s="1"/>
  <c r="D85" i="2" s="1"/>
  <c r="AK84" i="2"/>
  <c r="B85" i="2" s="1"/>
  <c r="BB84" i="2"/>
  <c r="AL84" i="2" l="1"/>
  <c r="C85" i="2" s="1"/>
  <c r="W84" i="2"/>
  <c r="AN84" i="2" l="1"/>
  <c r="E85" i="2" s="1"/>
  <c r="X84" i="2"/>
  <c r="AO84" i="2" l="1"/>
  <c r="F85" i="2" s="1"/>
  <c r="Y84" i="2"/>
  <c r="AP84" i="2" l="1"/>
  <c r="G85" i="2" s="1"/>
  <c r="Z84" i="2"/>
  <c r="AQ84" i="2"/>
  <c r="H85" i="2" s="1"/>
  <c r="AA84" i="2"/>
  <c r="AR84" i="2" s="1"/>
  <c r="I85" i="2" s="1"/>
  <c r="AB84" i="2" l="1"/>
  <c r="AC84" i="2"/>
  <c r="AT84" i="2" s="1"/>
  <c r="K85" i="2" s="1"/>
  <c r="AD84" i="2" l="1"/>
  <c r="AU84" i="2" s="1"/>
  <c r="L85" i="2" s="1"/>
  <c r="AS84" i="2"/>
  <c r="J85" i="2" s="1"/>
  <c r="AE84" i="2" l="1"/>
  <c r="AV84" i="2" l="1"/>
  <c r="M85" i="2" s="1"/>
  <c r="AF84" i="2"/>
  <c r="AG84" i="2"/>
  <c r="AX84" i="2" s="1"/>
  <c r="O85" i="2" s="1"/>
  <c r="AW84" i="2" l="1"/>
  <c r="N85" i="2" s="1"/>
  <c r="AH84" i="2"/>
  <c r="AY84" i="2" s="1"/>
  <c r="P85" i="2" s="1"/>
  <c r="AI84" i="2"/>
  <c r="AZ84" i="2" l="1"/>
  <c r="Q85" i="2" s="1"/>
  <c r="AJ84" i="2"/>
  <c r="BA84" i="2" s="1"/>
  <c r="R85" i="2" s="1"/>
  <c r="S85" i="2" l="1"/>
  <c r="T85" i="2" s="1"/>
  <c r="U85" i="2" l="1"/>
  <c r="BB85" i="2"/>
  <c r="AK85" i="2"/>
  <c r="B86" i="2" s="1"/>
  <c r="AL85" i="2" l="1"/>
  <c r="C86" i="2" s="1"/>
  <c r="V85" i="2"/>
  <c r="W85" i="2" s="1"/>
  <c r="AN85" i="2" s="1"/>
  <c r="E86" i="2" s="1"/>
  <c r="AM85" i="2"/>
  <c r="D86" i="2" s="1"/>
  <c r="X85" i="2"/>
  <c r="AO85" i="2" l="1"/>
  <c r="F86" i="2" s="1"/>
  <c r="Y85" i="2"/>
  <c r="AP85" i="2" l="1"/>
  <c r="G86" i="2" s="1"/>
  <c r="Z85" i="2"/>
  <c r="AQ85" i="2" l="1"/>
  <c r="H86" i="2" s="1"/>
  <c r="AA85" i="2"/>
  <c r="AB85" i="2" l="1"/>
  <c r="AR85" i="2"/>
  <c r="I86" i="2" s="1"/>
  <c r="AC85" i="2" l="1"/>
  <c r="AS85" i="2"/>
  <c r="J86" i="2" s="1"/>
  <c r="AD85" i="2"/>
  <c r="AT85" i="2" l="1"/>
  <c r="K86" i="2" s="1"/>
  <c r="AE85" i="2"/>
  <c r="AV85" i="2" s="1"/>
  <c r="M86" i="2" s="1"/>
  <c r="AU85" i="2"/>
  <c r="L86" i="2" s="1"/>
  <c r="AF85" i="2"/>
  <c r="AG85" i="2"/>
  <c r="AX85" i="2" s="1"/>
  <c r="O86" i="2" s="1"/>
  <c r="AH85" i="2"/>
  <c r="AY85" i="2" s="1"/>
  <c r="P86" i="2" s="1"/>
  <c r="AI85" i="2"/>
  <c r="AW85" i="2"/>
  <c r="N86" i="2" s="1"/>
  <c r="AZ85" i="2" l="1"/>
  <c r="Q86" i="2" s="1"/>
  <c r="AJ85" i="2"/>
  <c r="BA85" i="2" s="1"/>
  <c r="R86" i="2" s="1"/>
  <c r="S86" i="2" s="1"/>
  <c r="T86" i="2" s="1"/>
  <c r="AK86" i="2"/>
  <c r="B87" i="2" s="1"/>
  <c r="U86" i="2"/>
  <c r="AL86" i="2" s="1"/>
  <c r="C87" i="2" s="1"/>
  <c r="V86" i="2" l="1"/>
  <c r="W86" i="2" s="1"/>
  <c r="AN86" i="2" s="1"/>
  <c r="E87" i="2" s="1"/>
  <c r="BB86" i="2"/>
  <c r="AM86" i="2" l="1"/>
  <c r="D87" i="2" s="1"/>
  <c r="X86" i="2"/>
  <c r="AO86" i="2" l="1"/>
  <c r="F87" i="2" s="1"/>
  <c r="Y86" i="2"/>
  <c r="AP86" i="2" s="1"/>
  <c r="G87" i="2" s="1"/>
  <c r="Z86" i="2"/>
  <c r="AQ86" i="2" s="1"/>
  <c r="H87" i="2" s="1"/>
  <c r="AA86" i="2"/>
  <c r="AR86" i="2" s="1"/>
  <c r="I87" i="2" s="1"/>
  <c r="AB86" i="2" l="1"/>
  <c r="AS86" i="2" l="1"/>
  <c r="J87" i="2" s="1"/>
  <c r="AC86" i="2"/>
  <c r="AD86" i="2"/>
  <c r="AU86" i="2" s="1"/>
  <c r="L87" i="2" s="1"/>
  <c r="AT86" i="2" l="1"/>
  <c r="K87" i="2" s="1"/>
  <c r="AE86" i="2"/>
  <c r="AV86" i="2" l="1"/>
  <c r="M87" i="2" s="1"/>
  <c r="AF86" i="2"/>
  <c r="AW86" i="2" l="1"/>
  <c r="N87" i="2" s="1"/>
  <c r="AG86" i="2"/>
  <c r="AX86" i="2" s="1"/>
  <c r="O87" i="2" s="1"/>
  <c r="AH86" i="2"/>
  <c r="AY86" i="2" s="1"/>
  <c r="P87" i="2" s="1"/>
  <c r="AI86" i="2" l="1"/>
  <c r="AZ86" i="2" l="1"/>
  <c r="Q87" i="2" s="1"/>
  <c r="AJ86" i="2"/>
  <c r="BA86" i="2" s="1"/>
  <c r="R87" i="2" s="1"/>
  <c r="S87" i="2" s="1"/>
  <c r="T87" i="2" s="1"/>
  <c r="BB87" i="2"/>
  <c r="U87" i="2"/>
  <c r="AL87" i="2" s="1"/>
  <c r="C88" i="2" s="1"/>
  <c r="V87" i="2" l="1"/>
  <c r="AK87" i="2"/>
  <c r="B88" i="2" s="1"/>
  <c r="AM87" i="2" l="1"/>
  <c r="D88" i="2" s="1"/>
  <c r="W87" i="2"/>
  <c r="AN87" i="2" l="1"/>
  <c r="E88" i="2" s="1"/>
  <c r="X87" i="2"/>
  <c r="AO87" i="2"/>
  <c r="F88" i="2" s="1"/>
  <c r="Y87" i="2"/>
  <c r="AP87" i="2" s="1"/>
  <c r="G88" i="2" s="1"/>
  <c r="Z87" i="2" l="1"/>
  <c r="AA87" i="2"/>
  <c r="AR87" i="2" s="1"/>
  <c r="I88" i="2" s="1"/>
  <c r="AB87" i="2" l="1"/>
  <c r="AQ87" i="2"/>
  <c r="H88" i="2" s="1"/>
  <c r="AC87" i="2"/>
  <c r="AT87" i="2" s="1"/>
  <c r="K88" i="2" s="1"/>
  <c r="AS87" i="2" l="1"/>
  <c r="J88" i="2" s="1"/>
  <c r="AD87" i="2"/>
  <c r="AU87" i="2" l="1"/>
  <c r="L88" i="2" s="1"/>
  <c r="AE87" i="2"/>
  <c r="AV87" i="2" s="1"/>
  <c r="M88" i="2" s="1"/>
  <c r="AF87" i="2"/>
  <c r="AW87" i="2" l="1"/>
  <c r="N88" i="2" s="1"/>
  <c r="AG87" i="2"/>
  <c r="AX87" i="2" l="1"/>
  <c r="O88" i="2" s="1"/>
  <c r="AH87" i="2"/>
  <c r="AI87" i="2" l="1"/>
  <c r="AY87" i="2"/>
  <c r="P88" i="2" s="1"/>
  <c r="AJ87" i="2" l="1"/>
  <c r="BA87" i="2" s="1"/>
  <c r="R88" i="2" s="1"/>
  <c r="AZ87" i="2"/>
  <c r="Q88" i="2" s="1"/>
  <c r="S88" i="2" l="1"/>
  <c r="T88" i="2" s="1"/>
  <c r="U88" i="2" s="1"/>
  <c r="AK88" i="2"/>
  <c r="B89" i="2" s="1"/>
  <c r="AL88" i="2" l="1"/>
  <c r="C89" i="2" s="1"/>
  <c r="V88" i="2"/>
  <c r="BB88" i="2"/>
  <c r="AM88" i="2" l="1"/>
  <c r="D89" i="2" s="1"/>
  <c r="W88" i="2"/>
  <c r="AN88" i="2" l="1"/>
  <c r="E89" i="2" s="1"/>
  <c r="X88" i="2"/>
  <c r="AO88" i="2" l="1"/>
  <c r="F89" i="2" s="1"/>
  <c r="Y88" i="2"/>
  <c r="Z88" i="2" l="1"/>
  <c r="AP88" i="2"/>
  <c r="G89" i="2" s="1"/>
  <c r="AA88" i="2" l="1"/>
  <c r="AB88" i="2" s="1"/>
  <c r="AS88" i="2" s="1"/>
  <c r="J89" i="2" s="1"/>
  <c r="AQ88" i="2"/>
  <c r="H89" i="2" s="1"/>
  <c r="AC88" i="2" l="1"/>
  <c r="AR88" i="2"/>
  <c r="I89" i="2" s="1"/>
  <c r="AD88" i="2" l="1"/>
  <c r="AT88" i="2"/>
  <c r="K89" i="2" s="1"/>
  <c r="AU88" i="2" l="1"/>
  <c r="L89" i="2" s="1"/>
  <c r="AE88" i="2"/>
  <c r="AF88" i="2" l="1"/>
  <c r="AV88" i="2"/>
  <c r="M89" i="2" s="1"/>
  <c r="AW88" i="2" l="1"/>
  <c r="N89" i="2" s="1"/>
  <c r="AG88" i="2"/>
  <c r="AH88" i="2" s="1"/>
  <c r="AY88" i="2" s="1"/>
  <c r="P89" i="2" s="1"/>
  <c r="AI88" i="2" l="1"/>
  <c r="AX88" i="2"/>
  <c r="O89" i="2" s="1"/>
  <c r="AZ88" i="2" l="1"/>
  <c r="Q89" i="2" s="1"/>
  <c r="AJ88" i="2"/>
  <c r="BA88" i="2" s="1"/>
  <c r="R89" i="2" s="1"/>
  <c r="S89" i="2" s="1"/>
  <c r="T89" i="2" s="1"/>
  <c r="U89" i="2" l="1"/>
  <c r="W89" i="2" s="1"/>
  <c r="AK89" i="2"/>
  <c r="B90" i="2" s="1"/>
  <c r="V89" i="2"/>
  <c r="AM89" i="2" s="1"/>
  <c r="D90" i="2" s="1"/>
  <c r="AL89" i="2"/>
  <c r="C90" i="2" s="1"/>
  <c r="BB89" i="2"/>
  <c r="AN89" i="2" l="1"/>
  <c r="E90" i="2" s="1"/>
  <c r="X89" i="2"/>
  <c r="AO89" i="2" l="1"/>
  <c r="F90" i="2" s="1"/>
  <c r="Y89" i="2"/>
  <c r="AP89" i="2" l="1"/>
  <c r="G90" i="2" s="1"/>
  <c r="Z89" i="2"/>
  <c r="AQ89" i="2"/>
  <c r="H90" i="2" s="1"/>
  <c r="AA89" i="2"/>
  <c r="AB89" i="2" l="1"/>
  <c r="AC89" i="2" s="1"/>
  <c r="AT89" i="2" s="1"/>
  <c r="K90" i="2" s="1"/>
  <c r="AR89" i="2"/>
  <c r="I90" i="2" s="1"/>
  <c r="AD89" i="2" l="1"/>
  <c r="AE89" i="2" s="1"/>
  <c r="AS89" i="2"/>
  <c r="J90" i="2" s="1"/>
  <c r="AF89" i="2" l="1"/>
  <c r="AU89" i="2"/>
  <c r="L90" i="2" s="1"/>
  <c r="AV89" i="2"/>
  <c r="M90" i="2" s="1"/>
  <c r="AW89" i="2" l="1"/>
  <c r="N90" i="2" s="1"/>
  <c r="AG89" i="2"/>
  <c r="AX89" i="2" l="1"/>
  <c r="O90" i="2" s="1"/>
  <c r="AI89" i="2"/>
  <c r="AH89" i="2"/>
  <c r="AY89" i="2" s="1"/>
  <c r="P90" i="2" s="1"/>
  <c r="AZ89" i="2" l="1"/>
  <c r="Q90" i="2" s="1"/>
  <c r="AJ89" i="2"/>
  <c r="BA89" i="2" s="1"/>
  <c r="R90" i="2" s="1"/>
  <c r="S90" i="2" s="1"/>
  <c r="T90" i="2" s="1"/>
  <c r="U90" i="2" l="1"/>
  <c r="AK90" i="2"/>
  <c r="B91" i="2" s="1"/>
  <c r="BB90" i="2"/>
  <c r="V90" i="2"/>
  <c r="AM90" i="2" s="1"/>
  <c r="D91" i="2" s="1"/>
  <c r="W90" i="2"/>
  <c r="X90" i="2" s="1"/>
  <c r="AO90" i="2" s="1"/>
  <c r="F91" i="2" s="1"/>
  <c r="AL90" i="2" l="1"/>
  <c r="C91" i="2" s="1"/>
  <c r="Y90" i="2"/>
  <c r="AP90" i="2" s="1"/>
  <c r="G91" i="2" s="1"/>
  <c r="Z90" i="2"/>
  <c r="AQ90" i="2" s="1"/>
  <c r="H91" i="2" s="1"/>
  <c r="AN90" i="2"/>
  <c r="E91" i="2" s="1"/>
  <c r="AA90" i="2"/>
  <c r="AR90" i="2" s="1"/>
  <c r="I91" i="2" s="1"/>
  <c r="AB90" i="2" l="1"/>
  <c r="AS90" i="2" l="1"/>
  <c r="J91" i="2" s="1"/>
  <c r="AC90" i="2"/>
  <c r="AT90" i="2" l="1"/>
  <c r="K91" i="2" s="1"/>
  <c r="AD90" i="2"/>
  <c r="AU90" i="2"/>
  <c r="L91" i="2" s="1"/>
  <c r="AE90" i="2"/>
  <c r="AV90" i="2" l="1"/>
  <c r="M91" i="2" s="1"/>
  <c r="AF90" i="2"/>
  <c r="AW90" i="2" s="1"/>
  <c r="N91" i="2" s="1"/>
  <c r="AG90" i="2"/>
  <c r="AX90" i="2" l="1"/>
  <c r="O91" i="2" s="1"/>
  <c r="AH90" i="2"/>
  <c r="AY90" i="2" l="1"/>
  <c r="P91" i="2" s="1"/>
  <c r="AI90" i="2"/>
  <c r="AZ90" i="2" l="1"/>
  <c r="Q91" i="2" s="1"/>
  <c r="AJ90" i="2"/>
  <c r="BA90" i="2" s="1"/>
  <c r="R91" i="2" s="1"/>
  <c r="S91" i="2" l="1"/>
  <c r="T91" i="2" s="1"/>
  <c r="AK91" i="2" l="1"/>
  <c r="B92" i="2" s="1"/>
  <c r="U91" i="2"/>
  <c r="W91" i="2" s="1"/>
  <c r="BB91" i="2"/>
  <c r="AL91" i="2"/>
  <c r="C92" i="2" s="1"/>
  <c r="V91" i="2"/>
  <c r="AM91" i="2" s="1"/>
  <c r="D92" i="2" s="1"/>
  <c r="AN91" i="2" l="1"/>
  <c r="E92" i="2" s="1"/>
  <c r="X91" i="2"/>
  <c r="Y91" i="2" s="1"/>
  <c r="AP91" i="2" s="1"/>
  <c r="G92" i="2" s="1"/>
  <c r="Z91" i="2" l="1"/>
  <c r="AO91" i="2"/>
  <c r="F92" i="2" s="1"/>
  <c r="AA91" i="2" l="1"/>
  <c r="AB91" i="2" s="1"/>
  <c r="AS91" i="2" s="1"/>
  <c r="J92" i="2" s="1"/>
  <c r="AQ91" i="2"/>
  <c r="H92" i="2" s="1"/>
  <c r="AC91" i="2" l="1"/>
  <c r="AR91" i="2"/>
  <c r="I92" i="2" s="1"/>
  <c r="AT91" i="2" l="1"/>
  <c r="K92" i="2" s="1"/>
  <c r="AD91" i="2"/>
  <c r="AU91" i="2" l="1"/>
  <c r="L92" i="2" s="1"/>
  <c r="AE91" i="2"/>
  <c r="AV91" i="2" s="1"/>
  <c r="M92" i="2" s="1"/>
  <c r="AF91" i="2"/>
  <c r="AW91" i="2" s="1"/>
  <c r="N92" i="2" s="1"/>
  <c r="AG91" i="2" l="1"/>
  <c r="AX91" i="2" l="1"/>
  <c r="O92" i="2" s="1"/>
  <c r="AH91" i="2"/>
  <c r="AY91" i="2" l="1"/>
  <c r="P92" i="2" s="1"/>
  <c r="AI91" i="2"/>
  <c r="AZ91" i="2"/>
  <c r="Q92" i="2" s="1"/>
  <c r="AJ91" i="2"/>
  <c r="BA91" i="2" s="1"/>
  <c r="R92" i="2" s="1"/>
  <c r="S92" i="2" s="1"/>
  <c r="T92" i="2" s="1"/>
  <c r="AK92" i="2" l="1"/>
  <c r="B93" i="2" s="1"/>
  <c r="U92" i="2"/>
  <c r="AL92" i="2" l="1"/>
  <c r="C93" i="2" s="1"/>
  <c r="V92" i="2"/>
  <c r="BB92" i="2"/>
  <c r="AM92" i="2" l="1"/>
  <c r="D93" i="2" s="1"/>
  <c r="W92" i="2"/>
  <c r="X92" i="2" l="1"/>
  <c r="AN92" i="2"/>
  <c r="E93" i="2" s="1"/>
  <c r="Y92" i="2" l="1"/>
  <c r="AO92" i="2"/>
  <c r="F93" i="2" s="1"/>
  <c r="Z92" i="2" l="1"/>
  <c r="AP92" i="2"/>
  <c r="G93" i="2" s="1"/>
  <c r="AA92" i="2" l="1"/>
  <c r="AQ92" i="2"/>
  <c r="H93" i="2" s="1"/>
  <c r="AB92" i="2" l="1"/>
  <c r="AR92" i="2"/>
  <c r="I93" i="2" s="1"/>
  <c r="AS92" i="2" l="1"/>
  <c r="J93" i="2" s="1"/>
  <c r="AC92" i="2"/>
  <c r="AD92" i="2"/>
  <c r="AU92" i="2" s="1"/>
  <c r="L93" i="2" s="1"/>
  <c r="AT92" i="2" l="1"/>
  <c r="K93" i="2" s="1"/>
  <c r="AE92" i="2"/>
  <c r="AV92" i="2" s="1"/>
  <c r="M93" i="2" s="1"/>
  <c r="AF92" i="2"/>
  <c r="AG92" i="2"/>
  <c r="AH92" i="2"/>
  <c r="AY92" i="2" s="1"/>
  <c r="P93" i="2" s="1"/>
  <c r="AW92" i="2" l="1"/>
  <c r="N93" i="2" s="1"/>
  <c r="AI92" i="2"/>
  <c r="AZ92" i="2" s="1"/>
  <c r="Q93" i="2" s="1"/>
  <c r="AX92" i="2"/>
  <c r="O93" i="2" s="1"/>
  <c r="AJ92" i="2"/>
  <c r="BA92" i="2" s="1"/>
  <c r="R93" i="2" s="1"/>
  <c r="S93" i="2" s="1"/>
  <c r="T93" i="2" s="1"/>
  <c r="BB93" i="2" l="1"/>
  <c r="AK93" i="2"/>
  <c r="B94" i="2" s="1"/>
  <c r="U93" i="2"/>
  <c r="AL93" i="2" s="1"/>
  <c r="C94" i="2" s="1"/>
  <c r="V93" i="2" l="1"/>
  <c r="AM93" i="2" l="1"/>
  <c r="D94" i="2" s="1"/>
  <c r="W93" i="2"/>
  <c r="AN93" i="2" s="1"/>
  <c r="E94" i="2" s="1"/>
  <c r="X93" i="2"/>
  <c r="AO93" i="2" s="1"/>
  <c r="F94" i="2" s="1"/>
  <c r="Y93" i="2" l="1"/>
  <c r="AP93" i="2" l="1"/>
  <c r="G94" i="2" s="1"/>
  <c r="Z93" i="2"/>
  <c r="AQ93" i="2" l="1"/>
  <c r="H94" i="2" s="1"/>
  <c r="AA93" i="2"/>
  <c r="AR93" i="2" s="1"/>
  <c r="I94" i="2" s="1"/>
  <c r="AB93" i="2"/>
  <c r="AC93" i="2" s="1"/>
  <c r="AT93" i="2" s="1"/>
  <c r="K94" i="2" s="1"/>
  <c r="AD93" i="2" l="1"/>
  <c r="AS93" i="2"/>
  <c r="J94" i="2" s="1"/>
  <c r="AU93" i="2" l="1"/>
  <c r="L94" i="2" s="1"/>
  <c r="AE93" i="2"/>
  <c r="AV93" i="2" l="1"/>
  <c r="M94" i="2" s="1"/>
  <c r="AF93" i="2"/>
  <c r="AG93" i="2" s="1"/>
  <c r="AW93" i="2" l="1"/>
  <c r="N94" i="2" s="1"/>
  <c r="AH93" i="2"/>
  <c r="AY93" i="2" s="1"/>
  <c r="P94" i="2" s="1"/>
  <c r="AX93" i="2"/>
  <c r="O94" i="2" s="1"/>
  <c r="AI93" i="2"/>
  <c r="AZ93" i="2" s="1"/>
  <c r="Q94" i="2" s="1"/>
  <c r="AJ93" i="2" l="1"/>
  <c r="BA93" i="2" s="1"/>
  <c r="R94" i="2" s="1"/>
  <c r="S94" i="2" s="1"/>
  <c r="T94" i="2" s="1"/>
  <c r="AK94" i="2" l="1"/>
  <c r="B95" i="2" s="1"/>
  <c r="U94" i="2"/>
  <c r="AL94" i="2" l="1"/>
  <c r="C95" i="2" s="1"/>
  <c r="BB94" i="2"/>
  <c r="V94" i="2"/>
  <c r="AM94" i="2" l="1"/>
  <c r="D95" i="2" s="1"/>
  <c r="W94" i="2"/>
  <c r="X94" i="2" s="1"/>
  <c r="AO94" i="2" s="1"/>
  <c r="F95" i="2" s="1"/>
  <c r="AN94" i="2" l="1"/>
  <c r="E95" i="2" s="1"/>
  <c r="Y94" i="2"/>
  <c r="AP94" i="2" s="1"/>
  <c r="G95" i="2" s="1"/>
  <c r="Z94" i="2" l="1"/>
  <c r="AQ94" i="2" l="1"/>
  <c r="H95" i="2" s="1"/>
  <c r="AA94" i="2"/>
  <c r="AB94" i="2"/>
  <c r="AS94" i="2" s="1"/>
  <c r="J95" i="2" s="1"/>
  <c r="AC94" i="2" l="1"/>
  <c r="AR94" i="2"/>
  <c r="I95" i="2" s="1"/>
  <c r="AD94" i="2" l="1"/>
  <c r="AT94" i="2"/>
  <c r="K95" i="2" s="1"/>
  <c r="AU94" i="2" l="1"/>
  <c r="L95" i="2" s="1"/>
  <c r="AE94" i="2"/>
  <c r="AV94" i="2" l="1"/>
  <c r="M95" i="2" s="1"/>
  <c r="AF94" i="2"/>
  <c r="AW94" i="2" s="1"/>
  <c r="N95" i="2" s="1"/>
  <c r="AG94" i="2"/>
  <c r="AX94" i="2" s="1"/>
  <c r="O95" i="2" s="1"/>
  <c r="AH94" i="2" l="1"/>
  <c r="AY94" i="2" l="1"/>
  <c r="P95" i="2" s="1"/>
  <c r="AI94" i="2"/>
  <c r="AZ94" i="2" s="1"/>
  <c r="Q95" i="2" s="1"/>
  <c r="AJ94" i="2" l="1"/>
  <c r="BA94" i="2" s="1"/>
  <c r="R95" i="2" s="1"/>
  <c r="S95" i="2" s="1"/>
  <c r="T95" i="2" s="1"/>
  <c r="U95" i="2" l="1"/>
  <c r="AL95" i="2" s="1"/>
  <c r="C96" i="2" s="1"/>
  <c r="AK95" i="2"/>
  <c r="B96" i="2" s="1"/>
  <c r="BB95" i="2"/>
  <c r="V95" i="2"/>
  <c r="AM95" i="2" s="1"/>
  <c r="D96" i="2" s="1"/>
  <c r="W95" i="2" l="1"/>
  <c r="X95" i="2" s="1"/>
  <c r="AO95" i="2" s="1"/>
  <c r="F96" i="2" s="1"/>
  <c r="AN95" i="2" l="1"/>
  <c r="E96" i="2" s="1"/>
  <c r="Y95" i="2"/>
  <c r="AP95" i="2" l="1"/>
  <c r="G96" i="2" s="1"/>
  <c r="Z95" i="2"/>
  <c r="AQ95" i="2" l="1"/>
  <c r="H96" i="2" s="1"/>
  <c r="AA95" i="2"/>
  <c r="AR95" i="2" l="1"/>
  <c r="I96" i="2" s="1"/>
  <c r="AB95" i="2"/>
  <c r="AS95" i="2" l="1"/>
  <c r="J96" i="2" s="1"/>
  <c r="AC95" i="2"/>
  <c r="AD95" i="2" s="1"/>
  <c r="AT95" i="2"/>
  <c r="K96" i="2" s="1"/>
  <c r="AU95" i="2" l="1"/>
  <c r="L96" i="2" s="1"/>
  <c r="AE95" i="2"/>
  <c r="AV95" i="2" l="1"/>
  <c r="M96" i="2" s="1"/>
  <c r="AF95" i="2"/>
  <c r="AW95" i="2" l="1"/>
  <c r="N96" i="2" s="1"/>
  <c r="AG95" i="2"/>
  <c r="AX95" i="2" s="1"/>
  <c r="O96" i="2" s="1"/>
  <c r="AH95" i="2"/>
  <c r="AY95" i="2" s="1"/>
  <c r="P96" i="2" s="1"/>
  <c r="AI95" i="2" l="1"/>
  <c r="AZ95" i="2" s="1"/>
  <c r="Q96" i="2" s="1"/>
  <c r="AJ95" i="2"/>
  <c r="BA95" i="2" s="1"/>
  <c r="R96" i="2" s="1"/>
  <c r="S96" i="2" s="1"/>
  <c r="T96" i="2" s="1"/>
  <c r="U96" i="2" l="1"/>
  <c r="AL96" i="2" s="1"/>
  <c r="C97" i="2" s="1"/>
  <c r="BB96" i="2"/>
  <c r="AK96" i="2"/>
  <c r="B97" i="2" s="1"/>
  <c r="V96" i="2" l="1"/>
  <c r="W96" i="2"/>
  <c r="AN96" i="2" s="1"/>
  <c r="E97" i="2" s="1"/>
  <c r="AM96" i="2" l="1"/>
  <c r="D97" i="2" s="1"/>
  <c r="X96" i="2"/>
  <c r="AO96" i="2" l="1"/>
  <c r="F97" i="2" s="1"/>
  <c r="Y96" i="2"/>
  <c r="AP96" i="2" s="1"/>
  <c r="G97" i="2" s="1"/>
  <c r="Z96" i="2"/>
  <c r="AQ96" i="2" s="1"/>
  <c r="H97" i="2" s="1"/>
  <c r="AA96" i="2" l="1"/>
  <c r="AR96" i="2" l="1"/>
  <c r="I97" i="2" s="1"/>
  <c r="AB96" i="2"/>
  <c r="AS96" i="2" l="1"/>
  <c r="J97" i="2" s="1"/>
  <c r="AC96" i="2"/>
  <c r="AD96" i="2" s="1"/>
  <c r="AT96" i="2"/>
  <c r="K97" i="2" s="1"/>
  <c r="AU96" i="2" l="1"/>
  <c r="L97" i="2" s="1"/>
  <c r="AE96" i="2"/>
  <c r="AV96" i="2" l="1"/>
  <c r="M97" i="2" s="1"/>
  <c r="AF96" i="2"/>
  <c r="AW96" i="2" l="1"/>
  <c r="N97" i="2" s="1"/>
  <c r="AG96" i="2"/>
  <c r="AX96" i="2" s="1"/>
  <c r="O97" i="2" s="1"/>
  <c r="AH96" i="2"/>
  <c r="AY96" i="2" l="1"/>
  <c r="P97" i="2" s="1"/>
  <c r="AI96" i="2"/>
  <c r="AZ96" i="2" s="1"/>
  <c r="Q97" i="2" s="1"/>
  <c r="AJ96" i="2" l="1"/>
  <c r="BA96" i="2" s="1"/>
  <c r="R97" i="2" s="1"/>
  <c r="S97" i="2" s="1"/>
  <c r="T97" i="2" s="1"/>
  <c r="BB97" i="2" l="1"/>
  <c r="U97" i="2"/>
  <c r="AL97" i="2" s="1"/>
  <c r="C98" i="2" s="1"/>
  <c r="AK97" i="2"/>
  <c r="B98" i="2" s="1"/>
  <c r="V97" i="2" l="1"/>
  <c r="W97" i="2" l="1"/>
  <c r="AM97" i="2"/>
  <c r="D98" i="2" s="1"/>
  <c r="AN97" i="2" l="1"/>
  <c r="E98" i="2" s="1"/>
  <c r="X97" i="2"/>
  <c r="Y97" i="2" l="1"/>
  <c r="Z97" i="2" s="1"/>
  <c r="AO97" i="2"/>
  <c r="F98" i="2" s="1"/>
  <c r="AP97" i="2" l="1"/>
  <c r="G98" i="2" s="1"/>
  <c r="AA97" i="2"/>
  <c r="AB97" i="2"/>
  <c r="AQ97" i="2"/>
  <c r="H98" i="2" s="1"/>
  <c r="AR97" i="2" l="1"/>
  <c r="I98" i="2" s="1"/>
  <c r="AS97" i="2"/>
  <c r="J98" i="2" s="1"/>
  <c r="AC97" i="2"/>
  <c r="AD97" i="2" s="1"/>
  <c r="AU97" i="2" l="1"/>
  <c r="L98" i="2" s="1"/>
  <c r="AT97" i="2"/>
  <c r="K98" i="2" s="1"/>
  <c r="AE97" i="2"/>
  <c r="AV97" i="2" l="1"/>
  <c r="M98" i="2" s="1"/>
  <c r="AF97" i="2"/>
  <c r="AW97" i="2" l="1"/>
  <c r="N98" i="2" s="1"/>
  <c r="AG97" i="2"/>
  <c r="AH97" i="2" s="1"/>
  <c r="AJ97" i="2" l="1"/>
  <c r="BA97" i="2" s="1"/>
  <c r="R98" i="2" s="1"/>
  <c r="AX97" i="2"/>
  <c r="O98" i="2" s="1"/>
  <c r="AI97" i="2"/>
  <c r="AZ97" i="2" s="1"/>
  <c r="Q98" i="2" s="1"/>
  <c r="AY97" i="2"/>
  <c r="P98" i="2" s="1"/>
  <c r="S98" i="2" l="1"/>
  <c r="T98" i="2" s="1"/>
  <c r="U98" i="2"/>
  <c r="AK98" i="2"/>
  <c r="B99" i="2" s="1"/>
  <c r="AL98" i="2" l="1"/>
  <c r="C99" i="2" s="1"/>
  <c r="V98" i="2"/>
  <c r="AM98" i="2" s="1"/>
  <c r="D99" i="2" s="1"/>
  <c r="W98" i="2"/>
  <c r="AN98" i="2" s="1"/>
  <c r="E99" i="2" s="1"/>
  <c r="X98" i="2"/>
  <c r="BB98" i="2"/>
  <c r="AO98" i="2" l="1"/>
  <c r="F99" i="2" s="1"/>
  <c r="Y98" i="2"/>
  <c r="Z98" i="2"/>
  <c r="AQ98" i="2" s="1"/>
  <c r="H99" i="2" s="1"/>
  <c r="AA98" i="2" l="1"/>
  <c r="AB98" i="2"/>
  <c r="AS98" i="2" s="1"/>
  <c r="J99" i="2" s="1"/>
  <c r="AP98" i="2"/>
  <c r="G99" i="2" s="1"/>
  <c r="AC98" i="2" l="1"/>
  <c r="AR98" i="2"/>
  <c r="I99" i="2" s="1"/>
  <c r="AD98" i="2" l="1"/>
  <c r="AT98" i="2"/>
  <c r="K99" i="2" s="1"/>
  <c r="AE98" i="2" l="1"/>
  <c r="AU98" i="2"/>
  <c r="L99" i="2" s="1"/>
  <c r="AG98" i="2" l="1"/>
  <c r="AV98" i="2"/>
  <c r="M99" i="2" s="1"/>
  <c r="AF98" i="2"/>
  <c r="AH98" i="2" l="1"/>
  <c r="AW98" i="2"/>
  <c r="N99" i="2" s="1"/>
  <c r="AX98" i="2"/>
  <c r="O99" i="2" s="1"/>
  <c r="AI98" i="2" l="1"/>
  <c r="AY98" i="2"/>
  <c r="P99" i="2" s="1"/>
  <c r="AJ98" i="2" l="1"/>
  <c r="BA98" i="2" s="1"/>
  <c r="R99" i="2" s="1"/>
  <c r="S99" i="2" s="1"/>
  <c r="T99" i="2" s="1"/>
  <c r="AZ98" i="2"/>
  <c r="Q99" i="2" s="1"/>
  <c r="BB99" i="2" l="1"/>
  <c r="U99" i="2"/>
  <c r="AK99" i="2"/>
  <c r="B100" i="2" s="1"/>
  <c r="AL99" i="2" l="1"/>
  <c r="C100" i="2" s="1"/>
  <c r="V99" i="2"/>
  <c r="AM99" i="2" l="1"/>
  <c r="D100" i="2" s="1"/>
  <c r="W99" i="2"/>
  <c r="X99" i="2"/>
  <c r="Y99" i="2" l="1"/>
  <c r="AP99" i="2" s="1"/>
  <c r="G100" i="2" s="1"/>
  <c r="AN99" i="2"/>
  <c r="E100" i="2" s="1"/>
  <c r="Z99" i="2"/>
  <c r="AA99" i="2" s="1"/>
  <c r="AR99" i="2" s="1"/>
  <c r="I100" i="2" s="1"/>
  <c r="AO99" i="2"/>
  <c r="F100" i="2" s="1"/>
  <c r="AB99" i="2" l="1"/>
  <c r="AQ99" i="2"/>
  <c r="H100" i="2" s="1"/>
  <c r="AC99" i="2" l="1"/>
  <c r="AS99" i="2"/>
  <c r="J100" i="2" s="1"/>
  <c r="AD99" i="2" l="1"/>
  <c r="AT99" i="2"/>
  <c r="K100" i="2" s="1"/>
  <c r="AU99" i="2" l="1"/>
  <c r="L100" i="2" s="1"/>
  <c r="AE99" i="2"/>
  <c r="AF99" i="2" l="1"/>
  <c r="AV99" i="2"/>
  <c r="M100" i="2" s="1"/>
  <c r="AW99" i="2" l="1"/>
  <c r="N100" i="2" s="1"/>
  <c r="AG99" i="2"/>
  <c r="AX99" i="2" s="1"/>
  <c r="O100" i="2" s="1"/>
  <c r="AH99" i="2"/>
  <c r="AY99" i="2" s="1"/>
  <c r="P100" i="2" s="1"/>
  <c r="AI99" i="2"/>
  <c r="AZ99" i="2" s="1"/>
  <c r="Q100" i="2" s="1"/>
  <c r="AJ99" i="2"/>
  <c r="BA99" i="2" s="1"/>
  <c r="R100" i="2" s="1"/>
  <c r="S100" i="2" s="1"/>
  <c r="T100" i="2" s="1"/>
  <c r="AK100" i="2" l="1"/>
  <c r="B101" i="2" s="1"/>
  <c r="U100" i="2"/>
  <c r="BB100" i="2"/>
  <c r="V100" i="2"/>
  <c r="AM100" i="2" s="1"/>
  <c r="D101" i="2" s="1"/>
  <c r="W100" i="2" l="1"/>
  <c r="AL100" i="2"/>
  <c r="C101" i="2" s="1"/>
  <c r="AN100" i="2"/>
  <c r="E101" i="2" s="1"/>
  <c r="X100" i="2"/>
  <c r="AO100" i="2" l="1"/>
  <c r="F101" i="2" s="1"/>
  <c r="Y100" i="2"/>
  <c r="AP100" i="2" l="1"/>
  <c r="G101" i="2" s="1"/>
  <c r="Z100" i="2"/>
  <c r="AA100" i="2"/>
  <c r="AR100" i="2" s="1"/>
  <c r="I101" i="2" s="1"/>
  <c r="AB100" i="2" l="1"/>
  <c r="AQ100" i="2"/>
  <c r="H101" i="2" s="1"/>
  <c r="AS100" i="2" l="1"/>
  <c r="J101" i="2" s="1"/>
  <c r="AC100" i="2"/>
  <c r="AD100" i="2"/>
  <c r="AU100" i="2" s="1"/>
  <c r="L101" i="2" s="1"/>
  <c r="AT100" i="2" l="1"/>
  <c r="K101" i="2" s="1"/>
  <c r="AE100" i="2"/>
  <c r="AV100" i="2" s="1"/>
  <c r="M101" i="2" s="1"/>
  <c r="AF100" i="2" l="1"/>
  <c r="AW100" i="2" l="1"/>
  <c r="N101" i="2" s="1"/>
  <c r="AG100" i="2"/>
  <c r="AX100" i="2" s="1"/>
  <c r="O101" i="2" s="1"/>
  <c r="AH100" i="2" l="1"/>
  <c r="AI100" i="2" s="1"/>
  <c r="AZ100" i="2" s="1"/>
  <c r="Q101" i="2" s="1"/>
  <c r="AY100" i="2" l="1"/>
  <c r="P101" i="2" s="1"/>
  <c r="AJ100" i="2"/>
  <c r="BA100" i="2" s="1"/>
  <c r="R101" i="2" s="1"/>
  <c r="S101" i="2" s="1"/>
  <c r="T101" i="2" s="1"/>
  <c r="AK101" i="2" l="1"/>
  <c r="B102" i="2" s="1"/>
  <c r="U101" i="2"/>
  <c r="AL101" i="2" l="1"/>
  <c r="C102" i="2" s="1"/>
  <c r="BB101" i="2"/>
  <c r="V101" i="2"/>
  <c r="AM101" i="2" l="1"/>
  <c r="D102" i="2" s="1"/>
  <c r="W101" i="2"/>
  <c r="X101" i="2" s="1"/>
  <c r="AO101" i="2" s="1"/>
  <c r="F102" i="2" s="1"/>
  <c r="Y101" i="2" l="1"/>
  <c r="Z101" i="2" s="1"/>
  <c r="AQ101" i="2" s="1"/>
  <c r="H102" i="2" s="1"/>
  <c r="AN101" i="2"/>
  <c r="E102" i="2" s="1"/>
  <c r="AA101" i="2" l="1"/>
  <c r="AP101" i="2"/>
  <c r="G102" i="2" s="1"/>
  <c r="AR101" i="2" l="1"/>
  <c r="I102" i="2" s="1"/>
  <c r="AB101" i="2"/>
  <c r="AS101" i="2" l="1"/>
  <c r="J102" i="2" s="1"/>
  <c r="AC101" i="2"/>
  <c r="AT101" i="2" l="1"/>
  <c r="K102" i="2" s="1"/>
  <c r="AD101" i="2"/>
  <c r="AU101" i="2" l="1"/>
  <c r="L102" i="2" s="1"/>
  <c r="AE101" i="2"/>
  <c r="AF101" i="2" l="1"/>
  <c r="AV101" i="2"/>
  <c r="M102" i="2" s="1"/>
  <c r="AG101" i="2" l="1"/>
  <c r="AW101" i="2"/>
  <c r="N102" i="2" s="1"/>
  <c r="AH101" i="2"/>
  <c r="AX101" i="2" l="1"/>
  <c r="O102" i="2" s="1"/>
  <c r="AY101" i="2"/>
  <c r="P102" i="2" s="1"/>
  <c r="AI101" i="2"/>
  <c r="AZ101" i="2" l="1"/>
  <c r="Q102" i="2" s="1"/>
  <c r="AJ101" i="2"/>
  <c r="BA101" i="2" s="1"/>
  <c r="R102" i="2" s="1"/>
  <c r="S102" i="2" s="1"/>
  <c r="T102" i="2" s="1"/>
  <c r="U102" i="2" l="1"/>
  <c r="AK102" i="2"/>
  <c r="B103" i="2" s="1"/>
  <c r="BB102" i="2"/>
  <c r="V102" i="2" l="1"/>
  <c r="AL102" i="2"/>
  <c r="C103" i="2" s="1"/>
  <c r="W102" i="2" l="1"/>
  <c r="AM102" i="2"/>
  <c r="D103" i="2" s="1"/>
  <c r="AN102" i="2" l="1"/>
  <c r="E103" i="2" s="1"/>
  <c r="X102" i="2"/>
  <c r="AO102" i="2" l="1"/>
  <c r="F103" i="2" s="1"/>
  <c r="Y102" i="2"/>
  <c r="AP102" i="2" l="1"/>
  <c r="G103" i="2" s="1"/>
  <c r="Z102" i="2"/>
  <c r="AB102" i="2" l="1"/>
  <c r="AQ102" i="2"/>
  <c r="H103" i="2" s="1"/>
  <c r="AA102" i="2"/>
  <c r="AD102" i="2" l="1"/>
  <c r="AR102" i="2"/>
  <c r="I103" i="2" s="1"/>
  <c r="AS102" i="2"/>
  <c r="J103" i="2" s="1"/>
  <c r="AC102" i="2"/>
  <c r="AU102" i="2" l="1"/>
  <c r="L103" i="2" s="1"/>
  <c r="AT102" i="2"/>
  <c r="K103" i="2" s="1"/>
  <c r="AE102" i="2"/>
  <c r="AV102" i="2" l="1"/>
  <c r="M103" i="2" s="1"/>
  <c r="AF102" i="2"/>
  <c r="AH102" i="2" s="1"/>
  <c r="AY102" i="2" s="1"/>
  <c r="P103" i="2" s="1"/>
  <c r="AG102" i="2"/>
  <c r="AJ102" i="2" l="1"/>
  <c r="BA102" i="2" s="1"/>
  <c r="R103" i="2" s="1"/>
  <c r="S103" i="2" s="1"/>
  <c r="T103" i="2" s="1"/>
  <c r="AW102" i="2"/>
  <c r="N103" i="2" s="1"/>
  <c r="AX102" i="2"/>
  <c r="O103" i="2" s="1"/>
  <c r="AI102" i="2"/>
  <c r="AZ102" i="2" s="1"/>
  <c r="Q103" i="2" s="1"/>
  <c r="U103" i="2" l="1"/>
  <c r="BB103" i="2"/>
  <c r="AK103" i="2"/>
  <c r="B104" i="2" s="1"/>
  <c r="V103" i="2" l="1"/>
  <c r="AL103" i="2"/>
  <c r="C104" i="2" s="1"/>
  <c r="W103" i="2" l="1"/>
  <c r="AM103" i="2"/>
  <c r="D104" i="2" s="1"/>
  <c r="AN103" i="2" l="1"/>
  <c r="E104" i="2" s="1"/>
  <c r="X103" i="2"/>
  <c r="Y103" i="2" l="1"/>
  <c r="AO103" i="2"/>
  <c r="F104" i="2" s="1"/>
  <c r="AA103" i="2" l="1"/>
  <c r="Z103" i="2"/>
  <c r="AP103" i="2"/>
  <c r="G104" i="2" s="1"/>
  <c r="AB103" i="2" l="1"/>
  <c r="AQ103" i="2"/>
  <c r="H104" i="2" s="1"/>
  <c r="AR103" i="2"/>
  <c r="I104" i="2" s="1"/>
  <c r="AS103" i="2" l="1"/>
  <c r="J104" i="2" s="1"/>
  <c r="AC103" i="2"/>
  <c r="AT103" i="2" l="1"/>
  <c r="K104" i="2" s="1"/>
  <c r="AD103" i="2"/>
  <c r="AF103" i="2" l="1"/>
  <c r="AE103" i="2"/>
  <c r="AU103" i="2"/>
  <c r="L104" i="2" s="1"/>
  <c r="AV103" i="2" l="1"/>
  <c r="M104" i="2" s="1"/>
  <c r="AG103" i="2"/>
  <c r="AW103" i="2"/>
  <c r="N104" i="2" s="1"/>
  <c r="AX103" i="2" l="1"/>
  <c r="O104" i="2" s="1"/>
  <c r="AH103" i="2"/>
  <c r="AI103" i="2" l="1"/>
  <c r="AY103" i="2"/>
  <c r="P104" i="2" s="1"/>
  <c r="AZ103" i="2" l="1"/>
  <c r="Q104" i="2" s="1"/>
  <c r="AJ103" i="2"/>
  <c r="BA103" i="2" s="1"/>
  <c r="R104" i="2" s="1"/>
  <c r="S104" i="2" s="1"/>
  <c r="T104" i="2" s="1"/>
  <c r="U104" i="2" l="1"/>
  <c r="BB104" i="2"/>
  <c r="AK104" i="2"/>
  <c r="B105" i="2" s="1"/>
  <c r="V104" i="2"/>
  <c r="AM104" i="2" s="1"/>
  <c r="D105" i="2" s="1"/>
  <c r="AL104" i="2" l="1"/>
  <c r="C105" i="2" s="1"/>
  <c r="W104" i="2"/>
  <c r="AN104" i="2" l="1"/>
  <c r="E105" i="2" s="1"/>
  <c r="X104" i="2"/>
  <c r="AO104" i="2" s="1"/>
  <c r="F105" i="2" s="1"/>
  <c r="Y104" i="2"/>
  <c r="AP104" i="2" s="1"/>
  <c r="G105" i="2" s="1"/>
  <c r="Z104" i="2"/>
  <c r="AQ104" i="2"/>
  <c r="H105" i="2" s="1"/>
  <c r="AA104" i="2"/>
  <c r="AB104" i="2" l="1"/>
  <c r="AR104" i="2"/>
  <c r="I105" i="2" s="1"/>
  <c r="AS104" i="2" l="1"/>
  <c r="J105" i="2" s="1"/>
  <c r="AC104" i="2"/>
  <c r="AT104" i="2" l="1"/>
  <c r="K105" i="2" s="1"/>
  <c r="AE104" i="2"/>
  <c r="AD104" i="2"/>
  <c r="AV104" i="2" l="1"/>
  <c r="M105" i="2" s="1"/>
  <c r="AF104" i="2"/>
  <c r="AU104" i="2"/>
  <c r="L105" i="2" s="1"/>
  <c r="AG104" i="2"/>
  <c r="AX104" i="2" s="1"/>
  <c r="O105" i="2" s="1"/>
  <c r="AW104" i="2" l="1"/>
  <c r="N105" i="2" s="1"/>
  <c r="AH104" i="2"/>
  <c r="AI104" i="2"/>
  <c r="AY104" i="2"/>
  <c r="P105" i="2" s="1"/>
  <c r="AZ104" i="2" l="1"/>
  <c r="Q105" i="2" s="1"/>
  <c r="AJ104" i="2"/>
  <c r="BA104" i="2" s="1"/>
  <c r="R105" i="2" s="1"/>
  <c r="S105" i="2" s="1"/>
  <c r="T105" i="2" s="1"/>
  <c r="AK105" i="2" l="1"/>
  <c r="B106" i="2" s="1"/>
  <c r="U105" i="2"/>
  <c r="BB105" i="2" s="1"/>
  <c r="AL105" i="2" l="1"/>
  <c r="C106" i="2" s="1"/>
  <c r="V105" i="2"/>
  <c r="AM105" i="2" l="1"/>
  <c r="D106" i="2" s="1"/>
  <c r="W105" i="2"/>
  <c r="AN105" i="2" l="1"/>
  <c r="E106" i="2" s="1"/>
  <c r="X105" i="2"/>
  <c r="AO105" i="2" l="1"/>
  <c r="F106" i="2" s="1"/>
  <c r="Y105" i="2"/>
  <c r="AP105" i="2" l="1"/>
  <c r="G106" i="2" s="1"/>
  <c r="Z105" i="2"/>
  <c r="AQ105" i="2" l="1"/>
  <c r="H106" i="2" s="1"/>
  <c r="AA105" i="2"/>
  <c r="AB105" i="2"/>
  <c r="AR105" i="2" l="1"/>
  <c r="I106" i="2" s="1"/>
  <c r="AS105" i="2"/>
  <c r="J106" i="2" s="1"/>
  <c r="AC105" i="2"/>
  <c r="AE105" i="2" s="1"/>
  <c r="AD105" i="2"/>
  <c r="AU105" i="2" s="1"/>
  <c r="L106" i="2" s="1"/>
  <c r="AF105" i="2" l="1"/>
  <c r="AT105" i="2"/>
  <c r="K106" i="2" s="1"/>
  <c r="AV105" i="2"/>
  <c r="M106" i="2" s="1"/>
  <c r="AW105" i="2" l="1"/>
  <c r="N106" i="2" s="1"/>
  <c r="AG105" i="2"/>
  <c r="AH105" i="2" l="1"/>
  <c r="AX105" i="2"/>
  <c r="O106" i="2" s="1"/>
  <c r="AI105" i="2" l="1"/>
  <c r="AY105" i="2"/>
  <c r="P106" i="2" s="1"/>
  <c r="AJ105" i="2" l="1"/>
  <c r="BA105" i="2" s="1"/>
  <c r="R106" i="2" s="1"/>
  <c r="AZ105" i="2"/>
  <c r="Q106" i="2" s="1"/>
  <c r="S106" i="2" l="1"/>
  <c r="T106" i="2" s="1"/>
  <c r="BB106" i="2" l="1"/>
  <c r="U106" i="2"/>
  <c r="AK106" i="2"/>
  <c r="B107" i="2" s="1"/>
  <c r="AL106" i="2" l="1"/>
  <c r="C107" i="2" s="1"/>
  <c r="V106" i="2"/>
  <c r="W106" i="2" l="1"/>
  <c r="AM106" i="2"/>
  <c r="D107" i="2" s="1"/>
  <c r="AN106" i="2" l="1"/>
  <c r="E107" i="2" s="1"/>
  <c r="X106" i="2"/>
  <c r="AO106" i="2" l="1"/>
  <c r="F107" i="2" s="1"/>
  <c r="Y106" i="2"/>
  <c r="Z106" i="2" l="1"/>
  <c r="AP106" i="2"/>
  <c r="G107" i="2" s="1"/>
  <c r="AB106" i="2" l="1"/>
  <c r="AQ106" i="2"/>
  <c r="H107" i="2" s="1"/>
  <c r="AA106" i="2"/>
  <c r="AR106" i="2" l="1"/>
  <c r="I107" i="2" s="1"/>
  <c r="AS106" i="2"/>
  <c r="J107" i="2" s="1"/>
  <c r="AC106" i="2"/>
  <c r="AT106" i="2" l="1"/>
  <c r="K107" i="2" s="1"/>
  <c r="AD106" i="2"/>
  <c r="AE106" i="2" l="1"/>
  <c r="AU106" i="2"/>
  <c r="L107" i="2" s="1"/>
  <c r="AF106" i="2" l="1"/>
  <c r="AV106" i="2"/>
  <c r="M107" i="2" s="1"/>
  <c r="AW106" i="2" l="1"/>
  <c r="N107" i="2" s="1"/>
  <c r="AG106" i="2"/>
  <c r="AH106" i="2" s="1"/>
  <c r="AX106" i="2"/>
  <c r="O107" i="2" s="1"/>
  <c r="AY106" i="2" l="1"/>
  <c r="P107" i="2" s="1"/>
  <c r="AI106" i="2"/>
  <c r="AJ106" i="2" l="1"/>
  <c r="BA106" i="2" s="1"/>
  <c r="R107" i="2" s="1"/>
  <c r="S107" i="2" s="1"/>
  <c r="T107" i="2" s="1"/>
  <c r="AZ106" i="2"/>
  <c r="Q107" i="2" s="1"/>
  <c r="U107" i="2" l="1"/>
  <c r="AK107" i="2"/>
  <c r="B108" i="2" s="1"/>
  <c r="AL107" i="2" l="1"/>
  <c r="C108" i="2" s="1"/>
  <c r="V107" i="2"/>
  <c r="W107" i="2" s="1"/>
  <c r="BB107" i="2"/>
  <c r="X107" i="2" l="1"/>
  <c r="AM107" i="2"/>
  <c r="D108" i="2" s="1"/>
  <c r="AN107" i="2"/>
  <c r="E108" i="2" s="1"/>
  <c r="AO107" i="2" l="1"/>
  <c r="F108" i="2" s="1"/>
  <c r="Y107" i="2"/>
  <c r="AP107" i="2" l="1"/>
  <c r="G108" i="2" s="1"/>
  <c r="Z107" i="2"/>
  <c r="AA107" i="2" l="1"/>
  <c r="AR107" i="2"/>
  <c r="I108" i="2" s="1"/>
  <c r="AQ107" i="2"/>
  <c r="H108" i="2" s="1"/>
  <c r="AB107" i="2" l="1"/>
  <c r="AS107" i="2" l="1"/>
  <c r="J108" i="2" s="1"/>
  <c r="AC107" i="2"/>
  <c r="AT107" i="2" l="1"/>
  <c r="K108" i="2" s="1"/>
  <c r="AD107" i="2"/>
  <c r="AU107" i="2" l="1"/>
  <c r="L108" i="2" s="1"/>
  <c r="AF107" i="2"/>
  <c r="AE107" i="2"/>
  <c r="AV107" i="2" l="1"/>
  <c r="M108" i="2" s="1"/>
  <c r="AW107" i="2"/>
  <c r="N108" i="2" s="1"/>
  <c r="AG107" i="2"/>
  <c r="AX107" i="2" l="1"/>
  <c r="O108" i="2" s="1"/>
  <c r="AH107" i="2"/>
  <c r="AJ107" i="2" l="1"/>
  <c r="BA107" i="2" s="1"/>
  <c r="R108" i="2" s="1"/>
  <c r="S108" i="2" s="1"/>
  <c r="T108" i="2" s="1"/>
  <c r="AI107" i="2"/>
  <c r="AZ107" i="2" s="1"/>
  <c r="Q108" i="2" s="1"/>
  <c r="AY107" i="2"/>
  <c r="P108" i="2" s="1"/>
  <c r="W108" i="2" l="1"/>
  <c r="U108" i="2"/>
  <c r="AK108" i="2"/>
  <c r="B109" i="2" s="1"/>
  <c r="BB108" i="2"/>
  <c r="V108" i="2"/>
  <c r="AM108" i="2" s="1"/>
  <c r="D109" i="2" s="1"/>
  <c r="X108" i="2" l="1"/>
  <c r="AL108" i="2"/>
  <c r="C109" i="2" s="1"/>
  <c r="AN108" i="2"/>
  <c r="E109" i="2" s="1"/>
  <c r="AO108" i="2" l="1"/>
  <c r="F109" i="2" s="1"/>
  <c r="Y108" i="2"/>
  <c r="AP108" i="2" l="1"/>
  <c r="G109" i="2" s="1"/>
  <c r="Z108" i="2"/>
  <c r="AQ108" i="2" s="1"/>
  <c r="H109" i="2" s="1"/>
  <c r="AA108" i="2"/>
  <c r="AB108" i="2"/>
  <c r="AS108" i="2" s="1"/>
  <c r="J109" i="2" s="1"/>
  <c r="AC108" i="2"/>
  <c r="AR108" i="2"/>
  <c r="I109" i="2" s="1"/>
  <c r="AT108" i="2" l="1"/>
  <c r="K109" i="2" s="1"/>
  <c r="AD108" i="2"/>
  <c r="AU108" i="2" l="1"/>
  <c r="L109" i="2" s="1"/>
  <c r="AE108" i="2"/>
  <c r="AF108" i="2" s="1"/>
  <c r="AV108" i="2"/>
  <c r="M109" i="2" s="1"/>
  <c r="AG108" i="2" l="1"/>
  <c r="AX108" i="2" s="1"/>
  <c r="O109" i="2" s="1"/>
  <c r="AH108" i="2"/>
  <c r="AW108" i="2"/>
  <c r="N109" i="2" s="1"/>
  <c r="AY108" i="2" l="1"/>
  <c r="P109" i="2" s="1"/>
  <c r="AI108" i="2"/>
  <c r="AZ108" i="2" l="1"/>
  <c r="Q109" i="2" s="1"/>
  <c r="AJ108" i="2"/>
  <c r="BA108" i="2" s="1"/>
  <c r="R109" i="2" s="1"/>
  <c r="S109" i="2" s="1"/>
  <c r="T109" i="2" s="1"/>
  <c r="U109" i="2" l="1"/>
  <c r="AK109" i="2"/>
  <c r="B110" i="2" s="1"/>
  <c r="BB109" i="2"/>
  <c r="AL109" i="2"/>
  <c r="C110" i="2" s="1"/>
  <c r="W109" i="2" l="1"/>
  <c r="X109" i="2"/>
  <c r="AO109" i="2" s="1"/>
  <c r="F110" i="2" s="1"/>
  <c r="V109" i="2"/>
  <c r="AM109" i="2" s="1"/>
  <c r="D110" i="2" s="1"/>
  <c r="AN109" i="2" l="1"/>
  <c r="E110" i="2" s="1"/>
  <c r="Y109" i="2"/>
  <c r="AP109" i="2"/>
  <c r="G110" i="2" s="1"/>
  <c r="Z109" i="2"/>
  <c r="AA109" i="2" l="1"/>
  <c r="AQ109" i="2"/>
  <c r="H110" i="2" s="1"/>
  <c r="AR109" i="2" l="1"/>
  <c r="I110" i="2" s="1"/>
  <c r="AB109" i="2"/>
  <c r="AC109" i="2"/>
  <c r="AS109" i="2" l="1"/>
  <c r="J110" i="2" s="1"/>
  <c r="AT109" i="2"/>
  <c r="K110" i="2" s="1"/>
  <c r="AD109" i="2"/>
  <c r="AU109" i="2" l="1"/>
  <c r="L110" i="2" s="1"/>
  <c r="AE109" i="2"/>
  <c r="AF109" i="2" l="1"/>
  <c r="AV109" i="2"/>
  <c r="M110" i="2" s="1"/>
  <c r="AG109" i="2" l="1"/>
  <c r="AH109" i="2"/>
  <c r="AW109" i="2"/>
  <c r="N110" i="2" s="1"/>
  <c r="AX109" i="2" l="1"/>
  <c r="O110" i="2" s="1"/>
  <c r="AY109" i="2"/>
  <c r="P110" i="2" s="1"/>
  <c r="AI109" i="2"/>
  <c r="AZ109" i="2" l="1"/>
  <c r="Q110" i="2" s="1"/>
  <c r="AJ109" i="2"/>
  <c r="BA109" i="2" s="1"/>
  <c r="R110" i="2" s="1"/>
  <c r="S110" i="2" s="1"/>
  <c r="T110" i="2" s="1"/>
  <c r="AK110" i="2" l="1"/>
  <c r="B111" i="2" s="1"/>
  <c r="U110" i="2"/>
  <c r="BB110" i="2"/>
  <c r="V110" i="2"/>
  <c r="AM110" i="2" s="1"/>
  <c r="D111" i="2" s="1"/>
  <c r="W110" i="2" l="1"/>
  <c r="AL110" i="2"/>
  <c r="C111" i="2" s="1"/>
  <c r="X110" i="2" l="1"/>
  <c r="AN110" i="2"/>
  <c r="E111" i="2" s="1"/>
  <c r="Y110" i="2" l="1"/>
  <c r="AO110" i="2"/>
  <c r="F111" i="2" s="1"/>
  <c r="AP110" i="2" l="1"/>
  <c r="G111" i="2" s="1"/>
  <c r="Z110" i="2"/>
  <c r="AQ110" i="2" l="1"/>
  <c r="H111" i="2" s="1"/>
  <c r="AA110" i="2"/>
  <c r="AR110" i="2" l="1"/>
  <c r="I111" i="2" s="1"/>
  <c r="AB110" i="2"/>
  <c r="AS110" i="2" l="1"/>
  <c r="J111" i="2" s="1"/>
  <c r="AC110" i="2"/>
  <c r="AT110" i="2" l="1"/>
  <c r="K111" i="2" s="1"/>
  <c r="AD110" i="2"/>
  <c r="AE110" i="2" s="1"/>
  <c r="AF110" i="2" l="1"/>
  <c r="AU110" i="2"/>
  <c r="L111" i="2" s="1"/>
  <c r="AV110" i="2"/>
  <c r="M111" i="2" s="1"/>
  <c r="AW110" i="2" l="1"/>
  <c r="N111" i="2" s="1"/>
  <c r="AG110" i="2"/>
  <c r="AH110" i="2" l="1"/>
  <c r="AX110" i="2"/>
  <c r="O111" i="2" s="1"/>
  <c r="AI110" i="2" l="1"/>
  <c r="AY110" i="2"/>
  <c r="P111" i="2" s="1"/>
  <c r="AZ110" i="2" l="1"/>
  <c r="Q111" i="2" s="1"/>
  <c r="AJ110" i="2"/>
  <c r="BA110" i="2" s="1"/>
  <c r="R111" i="2" s="1"/>
  <c r="S111" i="2" s="1"/>
  <c r="T111" i="2" s="1"/>
  <c r="U111" i="2" l="1"/>
  <c r="AK111" i="2"/>
  <c r="B112" i="2" s="1"/>
  <c r="V111" i="2"/>
  <c r="AM111" i="2" s="1"/>
  <c r="D112" i="2" s="1"/>
  <c r="BB111" i="2" l="1"/>
  <c r="W111" i="2"/>
  <c r="AL111" i="2"/>
  <c r="C112" i="2" s="1"/>
  <c r="AN111" i="2" l="1"/>
  <c r="E112" i="2" s="1"/>
  <c r="X111" i="2"/>
  <c r="Y111" i="2" l="1"/>
  <c r="AO111" i="2"/>
  <c r="F112" i="2" s="1"/>
  <c r="AA111" i="2" l="1"/>
  <c r="AP111" i="2"/>
  <c r="G112" i="2" s="1"/>
  <c r="Z111" i="2"/>
  <c r="AQ111" i="2"/>
  <c r="H112" i="2" s="1"/>
  <c r="AR111" i="2" l="1"/>
  <c r="I112" i="2" s="1"/>
  <c r="AB111" i="2"/>
  <c r="AS111" i="2"/>
  <c r="J112" i="2" s="1"/>
  <c r="AC111" i="2"/>
  <c r="AD111" i="2" l="1"/>
  <c r="AT111" i="2"/>
  <c r="K112" i="2" s="1"/>
  <c r="AU111" i="2" l="1"/>
  <c r="L112" i="2" s="1"/>
  <c r="AE111" i="2"/>
  <c r="AF111" i="2" l="1"/>
  <c r="AV111" i="2"/>
  <c r="M112" i="2" s="1"/>
  <c r="AG111" i="2" l="1"/>
  <c r="AH111" i="2"/>
  <c r="AY111" i="2" s="1"/>
  <c r="P112" i="2" s="1"/>
  <c r="AW111" i="2"/>
  <c r="N112" i="2" s="1"/>
  <c r="AI111" i="2" l="1"/>
  <c r="AX111" i="2"/>
  <c r="O112" i="2" s="1"/>
  <c r="AJ111" i="2" l="1"/>
  <c r="BA111" i="2" s="1"/>
  <c r="R112" i="2" s="1"/>
  <c r="S112" i="2" s="1"/>
  <c r="T112" i="2" s="1"/>
  <c r="AZ111" i="2"/>
  <c r="Q112" i="2" s="1"/>
  <c r="U112" i="2" l="1"/>
  <c r="BB112" i="2"/>
  <c r="AK112" i="2"/>
  <c r="B113" i="2" s="1"/>
  <c r="V112" i="2" l="1"/>
  <c r="W112" i="2"/>
  <c r="AL112" i="2"/>
  <c r="C113" i="2" s="1"/>
  <c r="AN112" i="2"/>
  <c r="E113" i="2" s="1"/>
  <c r="AM112" i="2" l="1"/>
  <c r="D113" i="2" s="1"/>
  <c r="X112" i="2"/>
  <c r="AO112" i="2"/>
  <c r="F113" i="2" s="1"/>
  <c r="Y112" i="2"/>
  <c r="Z112" i="2" l="1"/>
  <c r="AB112" i="2" s="1"/>
  <c r="AS112" i="2" s="1"/>
  <c r="J113" i="2" s="1"/>
  <c r="AA112" i="2"/>
  <c r="AP112" i="2"/>
  <c r="G113" i="2" s="1"/>
  <c r="AQ112" i="2" l="1"/>
  <c r="H113" i="2" s="1"/>
  <c r="AD112" i="2"/>
  <c r="AR112" i="2"/>
  <c r="I113" i="2" s="1"/>
  <c r="AC112" i="2"/>
  <c r="AT112" i="2" l="1"/>
  <c r="K113" i="2" s="1"/>
  <c r="AU112" i="2"/>
  <c r="L113" i="2" s="1"/>
  <c r="AE112" i="2"/>
  <c r="AV112" i="2" l="1"/>
  <c r="M113" i="2" s="1"/>
  <c r="AF112" i="2"/>
  <c r="AW112" i="2" l="1"/>
  <c r="N113" i="2" s="1"/>
  <c r="AG112" i="2"/>
  <c r="AH112" i="2" l="1"/>
  <c r="AX112" i="2"/>
  <c r="O113" i="2" s="1"/>
  <c r="AY112" i="2" l="1"/>
  <c r="P113" i="2" s="1"/>
  <c r="AJ112" i="2"/>
  <c r="BA112" i="2" s="1"/>
  <c r="R113" i="2" s="1"/>
  <c r="S113" i="2" s="1"/>
  <c r="T113" i="2" s="1"/>
  <c r="AI112" i="2"/>
  <c r="AZ112" i="2" s="1"/>
  <c r="Q113" i="2" s="1"/>
  <c r="U113" i="2" l="1"/>
  <c r="AK113" i="2"/>
  <c r="B114" i="2" s="1"/>
  <c r="AL113" i="2"/>
  <c r="C114" i="2" s="1"/>
  <c r="V113" i="2"/>
  <c r="BB113" i="2"/>
  <c r="W113" i="2" l="1"/>
  <c r="AM113" i="2"/>
  <c r="D114" i="2" s="1"/>
  <c r="AN113" i="2" l="1"/>
  <c r="E114" i="2" s="1"/>
  <c r="X113" i="2"/>
  <c r="AO113" i="2" l="1"/>
  <c r="F114" i="2" s="1"/>
  <c r="Y113" i="2"/>
  <c r="AP113" i="2" l="1"/>
  <c r="G114" i="2" s="1"/>
  <c r="Z113" i="2"/>
  <c r="AQ113" i="2" l="1"/>
  <c r="H114" i="2" s="1"/>
  <c r="AA113" i="2"/>
  <c r="AB113" i="2" l="1"/>
  <c r="AR113" i="2"/>
  <c r="I114" i="2" s="1"/>
  <c r="AS113" i="2" l="1"/>
  <c r="J114" i="2" s="1"/>
  <c r="AC113" i="2"/>
  <c r="AD113" i="2"/>
  <c r="AU113" i="2" s="1"/>
  <c r="L114" i="2" s="1"/>
  <c r="AT113" i="2" l="1"/>
  <c r="K114" i="2" s="1"/>
  <c r="AE113" i="2"/>
  <c r="AG113" i="2"/>
  <c r="AF113" i="2" l="1"/>
  <c r="AW113" i="2" s="1"/>
  <c r="N114" i="2" s="1"/>
  <c r="AH113" i="2"/>
  <c r="AV113" i="2"/>
  <c r="M114" i="2" s="1"/>
  <c r="AX113" i="2"/>
  <c r="O114" i="2" s="1"/>
  <c r="AY113" i="2" l="1"/>
  <c r="P114" i="2" s="1"/>
  <c r="AI113" i="2"/>
  <c r="AJ113" i="2" l="1"/>
  <c r="BA113" i="2" s="1"/>
  <c r="R114" i="2" s="1"/>
  <c r="AZ113" i="2"/>
  <c r="Q114" i="2" s="1"/>
  <c r="S114" i="2" l="1"/>
  <c r="T114" i="2" s="1"/>
  <c r="AK114" i="2" l="1"/>
  <c r="B115" i="2" s="1"/>
  <c r="U114" i="2"/>
  <c r="V114" i="2"/>
  <c r="AM114" i="2" s="1"/>
  <c r="D115" i="2" s="1"/>
  <c r="BB114" i="2"/>
  <c r="AL114" i="2" l="1"/>
  <c r="C115" i="2" s="1"/>
  <c r="W114" i="2"/>
  <c r="AN114" i="2" l="1"/>
  <c r="E115" i="2" s="1"/>
  <c r="Y114" i="2"/>
  <c r="X114" i="2"/>
  <c r="Z114" i="2" l="1"/>
  <c r="AA114" i="2"/>
  <c r="AR114" i="2" s="1"/>
  <c r="I115" i="2" s="1"/>
  <c r="AO114" i="2"/>
  <c r="F115" i="2" s="1"/>
  <c r="AP114" i="2"/>
  <c r="G115" i="2" s="1"/>
  <c r="AQ114" i="2" l="1"/>
  <c r="H115" i="2" s="1"/>
  <c r="AB114" i="2"/>
  <c r="AS114" i="2" l="1"/>
  <c r="J115" i="2" s="1"/>
  <c r="AC114" i="2"/>
  <c r="AE114" i="2" l="1"/>
  <c r="AT114" i="2"/>
  <c r="K115" i="2" s="1"/>
  <c r="AD114" i="2"/>
  <c r="AF114" i="2" l="1"/>
  <c r="AU114" i="2"/>
  <c r="L115" i="2" s="1"/>
  <c r="AV114" i="2"/>
  <c r="M115" i="2" s="1"/>
  <c r="AG114" i="2" l="1"/>
  <c r="AH114" i="2"/>
  <c r="AY114" i="2" s="1"/>
  <c r="P115" i="2" s="1"/>
  <c r="AW114" i="2"/>
  <c r="N115" i="2" s="1"/>
  <c r="AJ114" i="2" l="1"/>
  <c r="BA114" i="2" s="1"/>
  <c r="R115" i="2" s="1"/>
  <c r="S115" i="2" s="1"/>
  <c r="T115" i="2" s="1"/>
  <c r="AI114" i="2"/>
  <c r="AZ114" i="2" s="1"/>
  <c r="Q115" i="2" s="1"/>
  <c r="AX114" i="2"/>
  <c r="O115" i="2" s="1"/>
  <c r="U115" i="2" l="1"/>
  <c r="AK115" i="2"/>
  <c r="B116" i="2" s="1"/>
  <c r="BB115" i="2"/>
  <c r="AL115" i="2" l="1"/>
  <c r="C116" i="2" s="1"/>
  <c r="V115" i="2"/>
  <c r="AM115" i="2" l="1"/>
  <c r="D116" i="2" s="1"/>
  <c r="W115" i="2"/>
  <c r="AN115" i="2" l="1"/>
  <c r="E116" i="2" s="1"/>
  <c r="X115" i="2"/>
  <c r="Y115" i="2"/>
  <c r="AP115" i="2" s="1"/>
  <c r="G116" i="2" s="1"/>
  <c r="Z115" i="2" l="1"/>
  <c r="AO115" i="2"/>
  <c r="F116" i="2" s="1"/>
  <c r="AA115" i="2" l="1"/>
  <c r="AQ115" i="2"/>
  <c r="H116" i="2" s="1"/>
  <c r="AC115" i="2" l="1"/>
  <c r="AR115" i="2"/>
  <c r="I116" i="2" s="1"/>
  <c r="AB115" i="2"/>
  <c r="AS115" i="2" l="1"/>
  <c r="J116" i="2" s="1"/>
  <c r="AT115" i="2"/>
  <c r="K116" i="2" s="1"/>
  <c r="AD115" i="2"/>
  <c r="AU115" i="2" l="1"/>
  <c r="L116" i="2" s="1"/>
  <c r="AE115" i="2"/>
  <c r="AF115" i="2" l="1"/>
  <c r="AG115" i="2"/>
  <c r="AX115" i="2" s="1"/>
  <c r="O116" i="2" s="1"/>
  <c r="AH115" i="2"/>
  <c r="AY115" i="2" s="1"/>
  <c r="P116" i="2" s="1"/>
  <c r="AI115" i="2"/>
  <c r="AZ115" i="2" s="1"/>
  <c r="Q116" i="2" s="1"/>
  <c r="AV115" i="2"/>
  <c r="M116" i="2" s="1"/>
  <c r="AJ115" i="2" l="1"/>
  <c r="BA115" i="2" s="1"/>
  <c r="R116" i="2" s="1"/>
  <c r="AW115" i="2"/>
  <c r="N116" i="2" s="1"/>
  <c r="S116" i="2" l="1"/>
  <c r="T116" i="2" s="1"/>
  <c r="AK116" i="2" l="1"/>
  <c r="B117" i="2" s="1"/>
  <c r="U116" i="2"/>
  <c r="AL116" i="2" l="1"/>
  <c r="C117" i="2" s="1"/>
  <c r="BB116" i="2"/>
  <c r="W116" i="2"/>
  <c r="X116" i="2"/>
  <c r="V116" i="2"/>
  <c r="Y116" i="2" l="1"/>
  <c r="AM116" i="2"/>
  <c r="D117" i="2" s="1"/>
  <c r="AN116" i="2"/>
  <c r="E117" i="2" s="1"/>
  <c r="AO116" i="2"/>
  <c r="F117" i="2" s="1"/>
  <c r="Z116" i="2" l="1"/>
  <c r="AP116" i="2"/>
  <c r="G117" i="2" s="1"/>
  <c r="AA116" i="2"/>
  <c r="AB116" i="2"/>
  <c r="AS116" i="2" s="1"/>
  <c r="J117" i="2" s="1"/>
  <c r="AQ116" i="2" l="1"/>
  <c r="H117" i="2" s="1"/>
  <c r="AC116" i="2"/>
  <c r="AR116" i="2"/>
  <c r="I117" i="2" s="1"/>
  <c r="AT116" i="2" l="1"/>
  <c r="K117" i="2" s="1"/>
  <c r="AD116" i="2"/>
  <c r="AE116" i="2"/>
  <c r="AU116" i="2" l="1"/>
  <c r="L117" i="2" s="1"/>
  <c r="AV116" i="2"/>
  <c r="M117" i="2" s="1"/>
  <c r="AF116" i="2"/>
  <c r="AG116" i="2"/>
  <c r="AX116" i="2" s="1"/>
  <c r="O117" i="2" s="1"/>
  <c r="AW116" i="2" l="1"/>
  <c r="N117" i="2" s="1"/>
  <c r="AH116" i="2"/>
  <c r="AY116" i="2" l="1"/>
  <c r="P117" i="2" s="1"/>
  <c r="AI116" i="2"/>
  <c r="AZ116" i="2" s="1"/>
  <c r="Q117" i="2" s="1"/>
  <c r="AJ116" i="2"/>
  <c r="BA116" i="2" s="1"/>
  <c r="R117" i="2" s="1"/>
  <c r="S117" i="2" s="1"/>
  <c r="T117" i="2" s="1"/>
  <c r="AK117" i="2" l="1"/>
  <c r="B118" i="2" s="1"/>
  <c r="U117" i="2"/>
  <c r="V117" i="2"/>
  <c r="BB117" i="2"/>
  <c r="AL117" i="2" l="1"/>
  <c r="C118" i="2" s="1"/>
  <c r="W117" i="2"/>
  <c r="AM117" i="2"/>
  <c r="D118" i="2" s="1"/>
  <c r="X117" i="2" l="1"/>
  <c r="Y117" i="2"/>
  <c r="AP117" i="2" s="1"/>
  <c r="G118" i="2" s="1"/>
  <c r="AN117" i="2"/>
  <c r="E118" i="2" s="1"/>
  <c r="AO117" i="2" l="1"/>
  <c r="F118" i="2" s="1"/>
  <c r="Z117" i="2"/>
  <c r="AQ117" i="2" l="1"/>
  <c r="H118" i="2" s="1"/>
  <c r="AA117" i="2"/>
  <c r="AR117" i="2" l="1"/>
  <c r="I118" i="2" s="1"/>
  <c r="AB117" i="2"/>
  <c r="AS117" i="2" l="1"/>
  <c r="J118" i="2" s="1"/>
  <c r="AC117" i="2"/>
  <c r="AD117" i="2"/>
  <c r="AT117" i="2" l="1"/>
  <c r="K118" i="2" s="1"/>
  <c r="AU117" i="2"/>
  <c r="L118" i="2" s="1"/>
  <c r="AE117" i="2"/>
  <c r="AG117" i="2" l="1"/>
  <c r="AX117" i="2" s="1"/>
  <c r="O118" i="2" s="1"/>
  <c r="AV117" i="2"/>
  <c r="M118" i="2" s="1"/>
  <c r="AF117" i="2"/>
  <c r="AW117" i="2" l="1"/>
  <c r="N118" i="2" s="1"/>
  <c r="AH117" i="2"/>
  <c r="AY117" i="2" s="1"/>
  <c r="P118" i="2" s="1"/>
  <c r="AI117" i="2"/>
  <c r="AZ117" i="2" l="1"/>
  <c r="Q118" i="2" s="1"/>
  <c r="AJ117" i="2"/>
  <c r="BA117" i="2" s="1"/>
  <c r="R118" i="2" s="1"/>
  <c r="S118" i="2" s="1"/>
  <c r="T118" i="2" s="1"/>
  <c r="AK118" i="2" l="1"/>
  <c r="B119" i="2" s="1"/>
  <c r="U118" i="2"/>
  <c r="BB118" i="2"/>
  <c r="AL118" i="2" l="1"/>
  <c r="C119" i="2" s="1"/>
  <c r="V118" i="2"/>
  <c r="W118" i="2" l="1"/>
  <c r="AM118" i="2"/>
  <c r="D119" i="2" s="1"/>
  <c r="AN118" i="2" l="1"/>
  <c r="E119" i="2" s="1"/>
  <c r="X118" i="2"/>
  <c r="Y118" i="2" l="1"/>
  <c r="AO118" i="2"/>
  <c r="F119" i="2" s="1"/>
  <c r="Z118" i="2" l="1"/>
  <c r="AP118" i="2"/>
  <c r="G119" i="2" s="1"/>
  <c r="AA118" i="2" l="1"/>
  <c r="AQ118" i="2"/>
  <c r="H119" i="2" s="1"/>
  <c r="AR118" i="2" l="1"/>
  <c r="I119" i="2" s="1"/>
  <c r="AB118" i="2"/>
  <c r="AS118" i="2" l="1"/>
  <c r="J119" i="2" s="1"/>
  <c r="AC118" i="2"/>
  <c r="AT118" i="2" l="1"/>
  <c r="K119" i="2" s="1"/>
  <c r="AD118" i="2"/>
  <c r="AE118" i="2" l="1"/>
  <c r="AU118" i="2"/>
  <c r="L119" i="2" s="1"/>
  <c r="AF118" i="2" l="1"/>
  <c r="AV118" i="2"/>
  <c r="M119" i="2" s="1"/>
  <c r="AW118" i="2" l="1"/>
  <c r="N119" i="2" s="1"/>
  <c r="AG118" i="2"/>
  <c r="AX118" i="2" l="1"/>
  <c r="O119" i="2" s="1"/>
  <c r="AH118" i="2"/>
  <c r="AY118" i="2" l="1"/>
  <c r="P119" i="2" s="1"/>
  <c r="AI118" i="2"/>
  <c r="AJ118" i="2" l="1"/>
  <c r="BA118" i="2" s="1"/>
  <c r="R119" i="2" s="1"/>
  <c r="S119" i="2" s="1"/>
  <c r="T119" i="2" s="1"/>
  <c r="AZ118" i="2"/>
  <c r="Q119" i="2" s="1"/>
  <c r="BB119" i="2" l="1"/>
  <c r="U119" i="2"/>
  <c r="AK119" i="2"/>
  <c r="B120" i="2" s="1"/>
  <c r="AL119" i="2" l="1"/>
  <c r="C120" i="2" s="1"/>
  <c r="V119" i="2"/>
  <c r="W119" i="2"/>
  <c r="X119" i="2" l="1"/>
  <c r="Y119" i="2" s="1"/>
  <c r="AM119" i="2"/>
  <c r="D120" i="2" s="1"/>
  <c r="AN119" i="2"/>
  <c r="E120" i="2" s="1"/>
  <c r="Z119" i="2" l="1"/>
  <c r="AO119" i="2"/>
  <c r="F120" i="2" s="1"/>
  <c r="AP119" i="2"/>
  <c r="G120" i="2" s="1"/>
  <c r="AQ119" i="2" l="1"/>
  <c r="H120" i="2" s="1"/>
  <c r="AA119" i="2"/>
  <c r="AB119" i="2"/>
  <c r="AR119" i="2" l="1"/>
  <c r="I120" i="2" s="1"/>
  <c r="AD119" i="2"/>
  <c r="AS119" i="2"/>
  <c r="J120" i="2" s="1"/>
  <c r="AE119" i="2"/>
  <c r="AC119" i="2"/>
  <c r="AT119" i="2" s="1"/>
  <c r="K120" i="2" s="1"/>
  <c r="AU119" i="2" l="1"/>
  <c r="L120" i="2" s="1"/>
  <c r="AV119" i="2"/>
  <c r="M120" i="2" s="1"/>
  <c r="AF119" i="2"/>
  <c r="AW119" i="2" l="1"/>
  <c r="N120" i="2" s="1"/>
  <c r="AG119" i="2"/>
  <c r="AH119" i="2" l="1"/>
  <c r="AX119" i="2"/>
  <c r="O120" i="2" s="1"/>
  <c r="AI119" i="2" l="1"/>
  <c r="AY119" i="2"/>
  <c r="P120" i="2" s="1"/>
  <c r="AZ119" i="2" l="1"/>
  <c r="Q120" i="2" s="1"/>
  <c r="AJ119" i="2"/>
  <c r="BA119" i="2" s="1"/>
  <c r="R120" i="2" s="1"/>
  <c r="S120" i="2" s="1"/>
  <c r="T120" i="2" s="1"/>
  <c r="AK120" i="2" l="1"/>
  <c r="B121" i="2" s="1"/>
  <c r="U120" i="2"/>
  <c r="V120" i="2"/>
  <c r="AM120" i="2" s="1"/>
  <c r="D121" i="2" s="1"/>
  <c r="BB120" i="2"/>
  <c r="AL120" i="2" l="1"/>
  <c r="C121" i="2" s="1"/>
  <c r="W120" i="2"/>
  <c r="Z120" i="2" l="1"/>
  <c r="X120" i="2"/>
  <c r="AN120" i="2"/>
  <c r="E121" i="2" s="1"/>
  <c r="Y120" i="2"/>
  <c r="AO120" i="2" l="1"/>
  <c r="F121" i="2" s="1"/>
  <c r="AQ120" i="2"/>
  <c r="H121" i="2" s="1"/>
  <c r="AA120" i="2"/>
  <c r="AP120" i="2"/>
  <c r="G121" i="2" s="1"/>
  <c r="AB120" i="2"/>
  <c r="AS120" i="2" s="1"/>
  <c r="J121" i="2" s="1"/>
  <c r="AC120" i="2"/>
  <c r="AT120" i="2" s="1"/>
  <c r="K121" i="2" s="1"/>
  <c r="AD120" i="2"/>
  <c r="AU120" i="2" s="1"/>
  <c r="L121" i="2" s="1"/>
  <c r="AE120" i="2" l="1"/>
  <c r="AR120" i="2"/>
  <c r="I121" i="2" s="1"/>
  <c r="AF120" i="2"/>
  <c r="AV120" i="2" l="1"/>
  <c r="M121" i="2" s="1"/>
  <c r="AW120" i="2"/>
  <c r="N121" i="2" s="1"/>
  <c r="AG120" i="2"/>
  <c r="AX120" i="2" l="1"/>
  <c r="O121" i="2" s="1"/>
  <c r="AH120" i="2"/>
  <c r="AI120" i="2" l="1"/>
  <c r="AY120" i="2"/>
  <c r="P121" i="2" s="1"/>
  <c r="AZ120" i="2" l="1"/>
  <c r="Q121" i="2" s="1"/>
  <c r="AJ120" i="2"/>
  <c r="BA120" i="2" s="1"/>
  <c r="R121" i="2" s="1"/>
  <c r="S121" i="2" s="1"/>
  <c r="T121" i="2" s="1"/>
  <c r="BB121" i="2" l="1"/>
  <c r="AK121" i="2"/>
  <c r="B122" i="2" s="1"/>
  <c r="U121" i="2"/>
  <c r="AL121" i="2" l="1"/>
  <c r="C122" i="2" s="1"/>
  <c r="V121" i="2"/>
  <c r="X121" i="2" l="1"/>
  <c r="Y121" i="2"/>
  <c r="AM121" i="2"/>
  <c r="D122" i="2" s="1"/>
  <c r="W121" i="2"/>
  <c r="AO121" i="2" l="1"/>
  <c r="F122" i="2" s="1"/>
  <c r="Z121" i="2"/>
  <c r="AA121" i="2"/>
  <c r="AR121" i="2" s="1"/>
  <c r="I122" i="2" s="1"/>
  <c r="AP121" i="2"/>
  <c r="G122" i="2" s="1"/>
  <c r="AB121" i="2"/>
  <c r="AS121" i="2" s="1"/>
  <c r="J122" i="2" s="1"/>
  <c r="AN121" i="2"/>
  <c r="E122" i="2" s="1"/>
  <c r="AC121" i="2"/>
  <c r="AQ121" i="2" l="1"/>
  <c r="H122" i="2" s="1"/>
  <c r="AE121" i="2"/>
  <c r="AT121" i="2"/>
  <c r="K122" i="2" s="1"/>
  <c r="AD121" i="2"/>
  <c r="AF121" i="2" l="1"/>
  <c r="AU121" i="2"/>
  <c r="L122" i="2" s="1"/>
  <c r="AV121" i="2"/>
  <c r="M122" i="2" s="1"/>
  <c r="AG121" i="2"/>
  <c r="AX121" i="2" s="1"/>
  <c r="O122" i="2" s="1"/>
  <c r="AW121" i="2" l="1"/>
  <c r="N122" i="2" s="1"/>
  <c r="AH121" i="2"/>
  <c r="AY121" i="2" l="1"/>
  <c r="P122" i="2" s="1"/>
  <c r="AI121" i="2"/>
  <c r="AZ121" i="2" s="1"/>
  <c r="Q122" i="2" s="1"/>
  <c r="AJ121" i="2"/>
  <c r="BA121" i="2" s="1"/>
  <c r="R122" i="2" s="1"/>
  <c r="S122" i="2" s="1"/>
  <c r="T122" i="2" s="1"/>
  <c r="AK122" i="2" l="1"/>
  <c r="B123" i="2" s="1"/>
  <c r="U122" i="2"/>
  <c r="BB122" i="2"/>
  <c r="AL122" i="2" l="1"/>
  <c r="C123" i="2" s="1"/>
  <c r="V122" i="2"/>
  <c r="W122" i="2" s="1"/>
  <c r="AN122" i="2" s="1"/>
  <c r="E123" i="2" s="1"/>
  <c r="AM122" i="2" l="1"/>
  <c r="D123" i="2" s="1"/>
  <c r="X122" i="2"/>
  <c r="Y122" i="2" l="1"/>
  <c r="AO122" i="2"/>
  <c r="F123" i="2" s="1"/>
  <c r="Z122" i="2" l="1"/>
  <c r="AP122" i="2"/>
  <c r="G123" i="2" s="1"/>
  <c r="AA122" i="2" l="1"/>
  <c r="AQ122" i="2"/>
  <c r="H123" i="2" s="1"/>
  <c r="AB122" i="2" l="1"/>
  <c r="AR122" i="2"/>
  <c r="I123" i="2" s="1"/>
  <c r="AC122" i="2" l="1"/>
  <c r="AS122" i="2"/>
  <c r="J123" i="2" s="1"/>
  <c r="AD122" i="2" l="1"/>
  <c r="AT122" i="2"/>
  <c r="K123" i="2" s="1"/>
  <c r="AE122" i="2" l="1"/>
  <c r="AU122" i="2"/>
  <c r="L123" i="2" s="1"/>
  <c r="AF122" i="2" l="1"/>
  <c r="AG122" i="2" s="1"/>
  <c r="AV122" i="2"/>
  <c r="M123" i="2" s="1"/>
  <c r="AH122" i="2" l="1"/>
  <c r="AW122" i="2"/>
  <c r="N123" i="2" s="1"/>
  <c r="AX122" i="2"/>
  <c r="O123" i="2" s="1"/>
  <c r="AY122" i="2" l="1"/>
  <c r="P123" i="2" s="1"/>
  <c r="AI122" i="2"/>
  <c r="AZ122" i="2" l="1"/>
  <c r="Q123" i="2" s="1"/>
  <c r="AJ122" i="2"/>
  <c r="BA122" i="2" s="1"/>
  <c r="R123" i="2" s="1"/>
  <c r="S123" i="2" s="1"/>
  <c r="T123" i="2" s="1"/>
  <c r="AK123" i="2" l="1"/>
  <c r="B124" i="2" s="1"/>
  <c r="U123" i="2"/>
  <c r="V123" i="2"/>
  <c r="AM123" i="2" s="1"/>
  <c r="D124" i="2" s="1"/>
  <c r="AL123" i="2" l="1"/>
  <c r="C124" i="2" s="1"/>
  <c r="BB123" i="2"/>
  <c r="W123" i="2"/>
  <c r="AN123" i="2" l="1"/>
  <c r="E124" i="2" s="1"/>
  <c r="X123" i="2"/>
  <c r="AO123" i="2"/>
  <c r="F124" i="2" s="1"/>
  <c r="Y123" i="2"/>
  <c r="AP123" i="2" l="1"/>
  <c r="G124" i="2" s="1"/>
  <c r="Z123" i="2"/>
  <c r="AQ123" i="2" s="1"/>
  <c r="H124" i="2" s="1"/>
  <c r="AA123" i="2" l="1"/>
  <c r="AR123" i="2" l="1"/>
  <c r="I124" i="2" s="1"/>
  <c r="AB123" i="2"/>
  <c r="AS123" i="2" l="1"/>
  <c r="J124" i="2" s="1"/>
  <c r="AC123" i="2"/>
  <c r="AD123" i="2" s="1"/>
  <c r="AU123" i="2" l="1"/>
  <c r="L124" i="2" s="1"/>
  <c r="AT123" i="2"/>
  <c r="K124" i="2" s="1"/>
  <c r="AE123" i="2"/>
  <c r="AV123" i="2" l="1"/>
  <c r="M124" i="2" s="1"/>
  <c r="AF123" i="2"/>
  <c r="AG123" i="2"/>
  <c r="AX123" i="2" s="1"/>
  <c r="O124" i="2" s="1"/>
  <c r="AW123" i="2" l="1"/>
  <c r="N124" i="2" s="1"/>
  <c r="AH123" i="2"/>
  <c r="AY123" i="2" l="1"/>
  <c r="P124" i="2" s="1"/>
  <c r="AI123" i="2"/>
  <c r="AZ123" i="2" l="1"/>
  <c r="Q124" i="2" s="1"/>
  <c r="AJ123" i="2"/>
  <c r="BA123" i="2" s="1"/>
  <c r="R124" i="2" s="1"/>
  <c r="S124" i="2" s="1"/>
  <c r="T124" i="2" s="1"/>
  <c r="AK124" i="2" l="1"/>
  <c r="B125" i="2" s="1"/>
  <c r="U124" i="2"/>
  <c r="AL124" i="2" l="1"/>
  <c r="C125" i="2" s="1"/>
  <c r="BB124" i="2"/>
  <c r="V124" i="2"/>
  <c r="AM124" i="2" l="1"/>
  <c r="D125" i="2" s="1"/>
  <c r="W124" i="2"/>
  <c r="X124" i="2"/>
  <c r="AO124" i="2" s="1"/>
  <c r="F125" i="2" s="1"/>
  <c r="AN124" i="2"/>
  <c r="E125" i="2" s="1"/>
  <c r="Y124" i="2"/>
  <c r="AP124" i="2" l="1"/>
  <c r="G125" i="2" s="1"/>
  <c r="Z124" i="2"/>
  <c r="AA124" i="2"/>
  <c r="AR124" i="2" s="1"/>
  <c r="I125" i="2" s="1"/>
  <c r="AQ124" i="2" l="1"/>
  <c r="H125" i="2" s="1"/>
  <c r="AB124" i="2"/>
  <c r="AS124" i="2" s="1"/>
  <c r="J125" i="2" s="1"/>
  <c r="AC124" i="2" l="1"/>
  <c r="AT124" i="2" s="1"/>
  <c r="K125" i="2" s="1"/>
  <c r="AD124" i="2" l="1"/>
  <c r="AU124" i="2" l="1"/>
  <c r="L125" i="2" s="1"/>
  <c r="AE124" i="2"/>
  <c r="AV124" i="2" s="1"/>
  <c r="M125" i="2" s="1"/>
  <c r="AF124" i="2"/>
  <c r="AW124" i="2" s="1"/>
  <c r="N125" i="2" s="1"/>
  <c r="AG124" i="2" l="1"/>
  <c r="AX124" i="2" l="1"/>
  <c r="O125" i="2" s="1"/>
  <c r="AH124" i="2"/>
  <c r="AY124" i="2" s="1"/>
  <c r="P125" i="2" s="1"/>
  <c r="AI124" i="2"/>
  <c r="AZ124" i="2" l="1"/>
  <c r="Q125" i="2" s="1"/>
  <c r="AJ124" i="2"/>
  <c r="BA124" i="2" s="1"/>
  <c r="R125" i="2" s="1"/>
  <c r="S125" i="2" s="1"/>
  <c r="T125" i="2" s="1"/>
  <c r="AK125" i="2" l="1"/>
  <c r="B126" i="2" s="1"/>
  <c r="U125" i="2"/>
  <c r="AL125" i="2" l="1"/>
  <c r="C126" i="2" s="1"/>
  <c r="V125" i="2"/>
  <c r="BB125" i="2"/>
  <c r="AM125" i="2" l="1"/>
  <c r="D126" i="2" s="1"/>
  <c r="W125" i="2"/>
  <c r="AN125" i="2" s="1"/>
  <c r="E126" i="2" s="1"/>
  <c r="X125" i="2"/>
  <c r="Y125" i="2"/>
  <c r="AP125" i="2" s="1"/>
  <c r="G126" i="2" s="1"/>
  <c r="AO125" i="2"/>
  <c r="F126" i="2" s="1"/>
  <c r="Z125" i="2" l="1"/>
  <c r="AQ125" i="2" l="1"/>
  <c r="H126" i="2" s="1"/>
  <c r="AA125" i="2"/>
  <c r="AR125" i="2" s="1"/>
  <c r="I126" i="2" s="1"/>
  <c r="AB125" i="2" l="1"/>
  <c r="AS125" i="2" l="1"/>
  <c r="J126" i="2" s="1"/>
  <c r="AC125" i="2"/>
  <c r="AD125" i="2" s="1"/>
  <c r="AT125" i="2" l="1"/>
  <c r="K126" i="2" s="1"/>
  <c r="AE125" i="2"/>
  <c r="AF125" i="2"/>
  <c r="AW125" i="2" s="1"/>
  <c r="N126" i="2" s="1"/>
  <c r="AU125" i="2"/>
  <c r="L126" i="2" s="1"/>
  <c r="AV125" i="2" l="1"/>
  <c r="M126" i="2" s="1"/>
  <c r="AG125" i="2"/>
  <c r="AH125" i="2"/>
  <c r="AY125" i="2" s="1"/>
  <c r="P126" i="2" s="1"/>
  <c r="AX125" i="2" l="1"/>
  <c r="O126" i="2" s="1"/>
  <c r="AI125" i="2"/>
  <c r="AZ125" i="2" s="1"/>
  <c r="Q126" i="2" s="1"/>
  <c r="AJ125" i="2"/>
  <c r="BA125" i="2" s="1"/>
  <c r="R126" i="2" s="1"/>
  <c r="S126" i="2" s="1"/>
  <c r="T126" i="2" s="1"/>
  <c r="AK126" i="2" l="1"/>
  <c r="B127" i="2" s="1"/>
  <c r="U126" i="2"/>
  <c r="AL126" i="2" s="1"/>
  <c r="C127" i="2" s="1"/>
  <c r="V126" i="2" l="1"/>
  <c r="BB126" i="2"/>
  <c r="W126" i="2"/>
  <c r="AN126" i="2" s="1"/>
  <c r="E127" i="2" s="1"/>
  <c r="X126" i="2" l="1"/>
  <c r="AM126" i="2"/>
  <c r="D127" i="2" s="1"/>
  <c r="AO126" i="2" l="1"/>
  <c r="F127" i="2" s="1"/>
  <c r="Y126" i="2"/>
  <c r="AP126" i="2" l="1"/>
  <c r="G127" i="2" s="1"/>
  <c r="Z126" i="2"/>
  <c r="AA126" i="2" l="1"/>
  <c r="AQ126" i="2"/>
  <c r="H127" i="2" s="1"/>
  <c r="AR126" i="2" l="1"/>
  <c r="I127" i="2" s="1"/>
  <c r="AB126" i="2"/>
  <c r="AS126" i="2" l="1"/>
  <c r="J127" i="2" s="1"/>
  <c r="AC126" i="2"/>
  <c r="AT126" i="2" l="1"/>
  <c r="K127" i="2" s="1"/>
  <c r="AD126" i="2"/>
  <c r="AU126" i="2" l="1"/>
  <c r="L127" i="2" s="1"/>
  <c r="AE126" i="2"/>
  <c r="AV126" i="2"/>
  <c r="M127" i="2" s="1"/>
  <c r="AF126" i="2" l="1"/>
  <c r="AW126" i="2" l="1"/>
  <c r="N127" i="2" s="1"/>
  <c r="AG126" i="2"/>
  <c r="AX126" i="2" l="1"/>
  <c r="O127" i="2" s="1"/>
  <c r="AH126" i="2"/>
  <c r="AI126" i="2"/>
  <c r="AZ126" i="2" s="1"/>
  <c r="Q127" i="2" s="1"/>
  <c r="AY126" i="2" l="1"/>
  <c r="P127" i="2" s="1"/>
  <c r="AJ126" i="2"/>
  <c r="BA126" i="2" s="1"/>
  <c r="R127" i="2" s="1"/>
  <c r="S127" i="2"/>
  <c r="T127" i="2" s="1"/>
  <c r="U127" i="2" l="1"/>
  <c r="V127" i="2" s="1"/>
  <c r="BB127" i="2"/>
  <c r="AK127" i="2"/>
  <c r="B128" i="2" s="1"/>
  <c r="X127" i="2" l="1"/>
  <c r="AL127" i="2"/>
  <c r="C128" i="2" s="1"/>
  <c r="AM127" i="2"/>
  <c r="D128" i="2" s="1"/>
  <c r="W127" i="2"/>
  <c r="Y127" i="2" l="1"/>
  <c r="AN127" i="2"/>
  <c r="E128" i="2" s="1"/>
  <c r="AO127" i="2"/>
  <c r="F128" i="2" s="1"/>
  <c r="AP127" i="2" l="1"/>
  <c r="G128" i="2" s="1"/>
  <c r="Z127" i="2"/>
  <c r="AQ127" i="2" l="1"/>
  <c r="H128" i="2" s="1"/>
  <c r="AA127" i="2"/>
  <c r="AB127" i="2"/>
  <c r="AR127" i="2" l="1"/>
  <c r="I128" i="2" s="1"/>
  <c r="AC127" i="2"/>
  <c r="AD127" i="2" s="1"/>
  <c r="AU127" i="2" s="1"/>
  <c r="L128" i="2" s="1"/>
  <c r="AS127" i="2"/>
  <c r="J128" i="2" s="1"/>
  <c r="AF127" i="2" l="1"/>
  <c r="AE127" i="2"/>
  <c r="AT127" i="2"/>
  <c r="K128" i="2" s="1"/>
  <c r="AG127" i="2" l="1"/>
  <c r="AV127" i="2"/>
  <c r="M128" i="2" s="1"/>
  <c r="AW127" i="2"/>
  <c r="N128" i="2" s="1"/>
  <c r="AX127" i="2" l="1"/>
  <c r="O128" i="2" s="1"/>
  <c r="AH127" i="2"/>
  <c r="AI127" i="2"/>
  <c r="AZ127" i="2" s="1"/>
  <c r="Q128" i="2" s="1"/>
  <c r="AY127" i="2" l="1"/>
  <c r="P128" i="2" s="1"/>
  <c r="AJ127" i="2"/>
  <c r="BA127" i="2" s="1"/>
  <c r="R128" i="2" s="1"/>
  <c r="S128" i="2" s="1"/>
  <c r="T128" i="2" s="1"/>
  <c r="AK128" i="2" l="1"/>
  <c r="B129" i="2" s="1"/>
  <c r="U128" i="2"/>
  <c r="AL128" i="2" l="1"/>
  <c r="C129" i="2" s="1"/>
  <c r="V128" i="2"/>
  <c r="W128" i="2" s="1"/>
  <c r="AN128" i="2" s="1"/>
  <c r="E129" i="2" s="1"/>
  <c r="BB128" i="2"/>
  <c r="AM128" i="2" l="1"/>
  <c r="D129" i="2" s="1"/>
  <c r="X128" i="2"/>
  <c r="AO128" i="2"/>
  <c r="F129" i="2" s="1"/>
  <c r="Y128" i="2"/>
  <c r="Z128" i="2" s="1"/>
  <c r="AQ128" i="2" s="1"/>
  <c r="H129" i="2" s="1"/>
  <c r="AA128" i="2" l="1"/>
  <c r="AB128" i="2" s="1"/>
  <c r="AS128" i="2" s="1"/>
  <c r="J129" i="2" s="1"/>
  <c r="AP128" i="2"/>
  <c r="G129" i="2" s="1"/>
  <c r="AR128" i="2" l="1"/>
  <c r="I129" i="2" s="1"/>
  <c r="AC128" i="2"/>
  <c r="AT128" i="2" s="1"/>
  <c r="K129" i="2" s="1"/>
  <c r="AD128" i="2" l="1"/>
  <c r="AU128" i="2" l="1"/>
  <c r="L129" i="2" s="1"/>
  <c r="AE128" i="2"/>
  <c r="AV128" i="2" s="1"/>
  <c r="M129" i="2" s="1"/>
  <c r="AF128" i="2" l="1"/>
  <c r="AW128" i="2" l="1"/>
  <c r="N129" i="2" s="1"/>
  <c r="AG128" i="2"/>
  <c r="AX128" i="2" s="1"/>
  <c r="O129" i="2" s="1"/>
  <c r="AH128" i="2" l="1"/>
  <c r="AI128" i="2" s="1"/>
  <c r="AZ128" i="2" s="1"/>
  <c r="Q129" i="2" s="1"/>
  <c r="AY128" i="2" l="1"/>
  <c r="P129" i="2" s="1"/>
  <c r="AJ128" i="2"/>
  <c r="BA128" i="2" s="1"/>
  <c r="R129" i="2" s="1"/>
  <c r="S129" i="2" s="1"/>
  <c r="T129" i="2" s="1"/>
  <c r="U129" i="2" l="1"/>
  <c r="AK129" i="2"/>
  <c r="B130" i="2" s="1"/>
  <c r="AL129" i="2" l="1"/>
  <c r="C130" i="2" s="1"/>
  <c r="BB129" i="2"/>
  <c r="V129" i="2"/>
  <c r="W129" i="2" s="1"/>
  <c r="AN129" i="2" s="1"/>
  <c r="E130" i="2" s="1"/>
  <c r="X129" i="2" l="1"/>
  <c r="AO129" i="2" s="1"/>
  <c r="F130" i="2" s="1"/>
  <c r="AM129" i="2"/>
  <c r="D130" i="2" s="1"/>
  <c r="Y129" i="2" l="1"/>
  <c r="AP129" i="2" s="1"/>
  <c r="G130" i="2" s="1"/>
  <c r="Z129" i="2" l="1"/>
  <c r="AQ129" i="2" l="1"/>
  <c r="H130" i="2" s="1"/>
  <c r="AA129" i="2"/>
  <c r="AB129" i="2"/>
  <c r="AS129" i="2" s="1"/>
  <c r="J130" i="2" s="1"/>
  <c r="AR129" i="2" l="1"/>
  <c r="I130" i="2" s="1"/>
  <c r="AC129" i="2"/>
  <c r="AT129" i="2" l="1"/>
  <c r="K130" i="2" s="1"/>
  <c r="AD129" i="2"/>
  <c r="AU129" i="2" l="1"/>
  <c r="L130" i="2" s="1"/>
  <c r="AE129" i="2"/>
  <c r="AF129" i="2"/>
  <c r="AW129" i="2" s="1"/>
  <c r="N130" i="2" s="1"/>
  <c r="AV129" i="2" l="1"/>
  <c r="M130" i="2" s="1"/>
  <c r="AG129" i="2"/>
  <c r="AX129" i="2" l="1"/>
  <c r="O130" i="2" s="1"/>
  <c r="AH129" i="2"/>
  <c r="AI129" i="2" l="1"/>
  <c r="AY129" i="2"/>
  <c r="P130" i="2" s="1"/>
  <c r="AJ129" i="2" l="1"/>
  <c r="BA129" i="2" s="1"/>
  <c r="R130" i="2" s="1"/>
  <c r="S130" i="2" s="1"/>
  <c r="T130" i="2" s="1"/>
  <c r="AZ129" i="2"/>
  <c r="Q130" i="2" s="1"/>
  <c r="AK130" i="2" l="1"/>
  <c r="B131" i="2" s="1"/>
  <c r="U130" i="2"/>
  <c r="BB130" i="2"/>
  <c r="AL130" i="2" l="1"/>
  <c r="C131" i="2" s="1"/>
  <c r="V130" i="2"/>
  <c r="W130" i="2"/>
  <c r="AN130" i="2" s="1"/>
  <c r="E131" i="2" s="1"/>
  <c r="AM130" i="2" l="1"/>
  <c r="D131" i="2" s="1"/>
  <c r="X130" i="2"/>
  <c r="AO130" i="2" l="1"/>
  <c r="F131" i="2" s="1"/>
  <c r="Y130" i="2"/>
  <c r="AP130" i="2" l="1"/>
  <c r="G131" i="2" s="1"/>
  <c r="Z130" i="2"/>
  <c r="AA130" i="2" l="1"/>
  <c r="AQ130" i="2"/>
  <c r="H131" i="2" s="1"/>
  <c r="AB130" i="2"/>
  <c r="AS130" i="2" s="1"/>
  <c r="J131" i="2" s="1"/>
  <c r="AR130" i="2" l="1"/>
  <c r="I131" i="2" s="1"/>
  <c r="AC130" i="2"/>
  <c r="AT130" i="2" l="1"/>
  <c r="K131" i="2" s="1"/>
  <c r="AD130" i="2"/>
  <c r="AE130" i="2" s="1"/>
  <c r="AU130" i="2"/>
  <c r="L131" i="2" s="1"/>
  <c r="AF130" i="2" l="1"/>
  <c r="AV130" i="2"/>
  <c r="M131" i="2" s="1"/>
  <c r="AG130" i="2" l="1"/>
  <c r="AW130" i="2"/>
  <c r="N131" i="2" s="1"/>
  <c r="AH130" i="2" l="1"/>
  <c r="AX130" i="2"/>
  <c r="O131" i="2" s="1"/>
  <c r="AI130" i="2" l="1"/>
  <c r="AY130" i="2"/>
  <c r="P131" i="2" s="1"/>
  <c r="AJ130" i="2" l="1"/>
  <c r="BA130" i="2" s="1"/>
  <c r="R131" i="2" s="1"/>
  <c r="AZ130" i="2"/>
  <c r="Q131" i="2" s="1"/>
  <c r="S131" i="2" l="1"/>
  <c r="T131" i="2" s="1"/>
  <c r="U131" i="2" l="1"/>
  <c r="AK131" i="2"/>
  <c r="B132" i="2" s="1"/>
  <c r="V131" i="2"/>
  <c r="AM131" i="2" s="1"/>
  <c r="D132" i="2" s="1"/>
  <c r="BB131" i="2"/>
  <c r="AL131" i="2" l="1"/>
  <c r="C132" i="2" s="1"/>
  <c r="W131" i="2"/>
  <c r="AN131" i="2" l="1"/>
  <c r="E132" i="2" s="1"/>
  <c r="X131" i="2"/>
  <c r="Z131" i="2" l="1"/>
  <c r="Y131" i="2"/>
  <c r="AP131" i="2" s="1"/>
  <c r="G132" i="2" s="1"/>
  <c r="AO131" i="2"/>
  <c r="F132" i="2" s="1"/>
  <c r="AQ131" i="2" l="1"/>
  <c r="H132" i="2" s="1"/>
  <c r="AA131" i="2"/>
  <c r="AR131" i="2" s="1"/>
  <c r="I132" i="2" s="1"/>
  <c r="AB131" i="2"/>
  <c r="AS131" i="2" s="1"/>
  <c r="J132" i="2" s="1"/>
  <c r="AC131" i="2"/>
  <c r="AD131" i="2" s="1"/>
  <c r="AT131" i="2"/>
  <c r="K132" i="2" s="1"/>
  <c r="AE131" i="2" l="1"/>
  <c r="AU131" i="2"/>
  <c r="L132" i="2" s="1"/>
  <c r="AV131" i="2" l="1"/>
  <c r="M132" i="2" s="1"/>
  <c r="AF131" i="2"/>
  <c r="AG131" i="2" s="1"/>
  <c r="AX131" i="2" s="1"/>
  <c r="O132" i="2" s="1"/>
  <c r="AW131" i="2"/>
  <c r="N132" i="2" s="1"/>
  <c r="AH131" i="2" l="1"/>
  <c r="AY131" i="2" l="1"/>
  <c r="P132" i="2" s="1"/>
  <c r="AI131" i="2"/>
  <c r="AZ131" i="2" l="1"/>
  <c r="Q132" i="2" s="1"/>
  <c r="AJ131" i="2"/>
  <c r="BA131" i="2" s="1"/>
  <c r="R132" i="2" s="1"/>
  <c r="S132" i="2" s="1"/>
  <c r="T132" i="2" s="1"/>
  <c r="U132" i="2" l="1"/>
  <c r="AK132" i="2"/>
  <c r="B133" i="2" s="1"/>
  <c r="V132" i="2"/>
  <c r="BB132" i="2"/>
  <c r="AL132" i="2"/>
  <c r="C133" i="2" s="1"/>
  <c r="AM132" i="2" l="1"/>
  <c r="D133" i="2" s="1"/>
  <c r="W132" i="2"/>
  <c r="AN132" i="2" s="1"/>
  <c r="E133" i="2" s="1"/>
  <c r="X132" i="2"/>
  <c r="Y132" i="2"/>
  <c r="AP132" i="2" s="1"/>
  <c r="G133" i="2" s="1"/>
  <c r="AO132" i="2"/>
  <c r="F133" i="2" s="1"/>
  <c r="Z132" i="2"/>
  <c r="AQ132" i="2" s="1"/>
  <c r="H133" i="2" s="1"/>
  <c r="AA132" i="2" l="1"/>
  <c r="AR132" i="2" l="1"/>
  <c r="I133" i="2" s="1"/>
  <c r="AB132" i="2"/>
  <c r="AS132" i="2" l="1"/>
  <c r="J133" i="2" s="1"/>
  <c r="AC132" i="2"/>
  <c r="AD132" i="2" s="1"/>
  <c r="AT132" i="2"/>
  <c r="K133" i="2" s="1"/>
  <c r="AU132" i="2" l="1"/>
  <c r="L133" i="2" s="1"/>
  <c r="AE132" i="2"/>
  <c r="AV132" i="2" s="1"/>
  <c r="M133" i="2" s="1"/>
  <c r="AF132" i="2" l="1"/>
  <c r="AW132" i="2" s="1"/>
  <c r="N133" i="2" s="1"/>
  <c r="AG132" i="2" l="1"/>
  <c r="AX132" i="2" l="1"/>
  <c r="O133" i="2" s="1"/>
  <c r="AH132" i="2"/>
  <c r="AY132" i="2" s="1"/>
  <c r="P133" i="2" s="1"/>
  <c r="AI132" i="2" l="1"/>
  <c r="AZ132" i="2" s="1"/>
  <c r="Q133" i="2" s="1"/>
  <c r="AJ132" i="2" l="1"/>
  <c r="BA132" i="2" s="1"/>
  <c r="R133" i="2" s="1"/>
  <c r="S133" i="2" s="1"/>
  <c r="T133" i="2" s="1"/>
  <c r="AK133" i="2" l="1"/>
  <c r="B134" i="2" s="1"/>
  <c r="U133" i="2"/>
  <c r="BB133" i="2"/>
  <c r="AL133" i="2" l="1"/>
  <c r="C134" i="2" s="1"/>
  <c r="V133" i="2"/>
  <c r="AM133" i="2" s="1"/>
  <c r="D134" i="2" s="1"/>
  <c r="W133" i="2"/>
  <c r="X133" i="2"/>
  <c r="AO133" i="2" s="1"/>
  <c r="F134" i="2" s="1"/>
  <c r="AN133" i="2" l="1"/>
  <c r="E134" i="2" s="1"/>
  <c r="Y133" i="2"/>
  <c r="AP133" i="2" l="1"/>
  <c r="G134" i="2" s="1"/>
  <c r="Z133" i="2"/>
  <c r="AQ133" i="2" s="1"/>
  <c r="H134" i="2" s="1"/>
  <c r="AA133" i="2" l="1"/>
  <c r="AR133" i="2" l="1"/>
  <c r="I134" i="2" s="1"/>
  <c r="AB133" i="2"/>
  <c r="AS133" i="2" l="1"/>
  <c r="J134" i="2" s="1"/>
  <c r="AC133" i="2"/>
  <c r="AT133" i="2" l="1"/>
  <c r="K134" i="2" s="1"/>
  <c r="AD133" i="2"/>
  <c r="AU133" i="2" s="1"/>
  <c r="L134" i="2" s="1"/>
  <c r="AE133" i="2"/>
  <c r="AF133" i="2"/>
  <c r="AW133" i="2" s="1"/>
  <c r="N134" i="2" s="1"/>
  <c r="AG133" i="2" l="1"/>
  <c r="AV133" i="2"/>
  <c r="M134" i="2" s="1"/>
  <c r="AX133" i="2" l="1"/>
  <c r="O134" i="2" s="1"/>
  <c r="AH133" i="2"/>
  <c r="AY133" i="2" l="1"/>
  <c r="P134" i="2" s="1"/>
  <c r="AI133" i="2"/>
  <c r="AZ133" i="2" s="1"/>
  <c r="Q134" i="2" s="1"/>
  <c r="AJ133" i="2"/>
  <c r="BA133" i="2" s="1"/>
  <c r="R134" i="2" s="1"/>
  <c r="S134" i="2" l="1"/>
  <c r="T134" i="2" s="1"/>
  <c r="AK134" i="2" l="1"/>
  <c r="B135" i="2" s="1"/>
  <c r="U134" i="2"/>
  <c r="V134" i="2" s="1"/>
  <c r="AL134" i="2"/>
  <c r="C135" i="2" s="1"/>
  <c r="BB134" i="2"/>
  <c r="AM134" i="2" l="1"/>
  <c r="D135" i="2" s="1"/>
  <c r="W134" i="2"/>
  <c r="AN134" i="2" l="1"/>
  <c r="E135" i="2" s="1"/>
  <c r="X134" i="2"/>
  <c r="Y134" i="2" l="1"/>
  <c r="AO134" i="2"/>
  <c r="F135" i="2" s="1"/>
  <c r="AP134" i="2" l="1"/>
  <c r="G135" i="2" s="1"/>
  <c r="Z134" i="2"/>
  <c r="AD134" i="2" s="1"/>
  <c r="AE134" i="2" s="1"/>
  <c r="AV134" i="2" s="1"/>
  <c r="M135" i="2" s="1"/>
  <c r="AQ134" i="2"/>
  <c r="H135" i="2" s="1"/>
  <c r="AA134" i="2"/>
  <c r="AR134" i="2" s="1"/>
  <c r="I135" i="2" s="1"/>
  <c r="AB134" i="2"/>
  <c r="AS134" i="2" s="1"/>
  <c r="J135" i="2" s="1"/>
  <c r="AC134" i="2"/>
  <c r="AT134" i="2" s="1"/>
  <c r="K135" i="2" s="1"/>
  <c r="AU134" i="2" l="1"/>
  <c r="L135" i="2" s="1"/>
  <c r="AF134" i="2"/>
  <c r="AW134" i="2" s="1"/>
  <c r="N135" i="2" s="1"/>
  <c r="AG134" i="2"/>
  <c r="AX134" i="2" s="1"/>
  <c r="O135" i="2" s="1"/>
  <c r="AH134" i="2" l="1"/>
  <c r="AY134" i="2" s="1"/>
  <c r="P135" i="2" s="1"/>
  <c r="AI134" i="2" l="1"/>
  <c r="AZ134" i="2" s="1"/>
  <c r="Q135" i="2" s="1"/>
  <c r="AJ134" i="2" l="1"/>
  <c r="BA134" i="2" s="1"/>
  <c r="R135" i="2" s="1"/>
  <c r="S135" i="2" s="1"/>
  <c r="T135" i="2" s="1"/>
  <c r="AK135" i="2" l="1"/>
  <c r="B136" i="2" s="1"/>
  <c r="U135" i="2"/>
  <c r="AL135" i="2" s="1"/>
  <c r="C136" i="2" s="1"/>
  <c r="BB135" i="2"/>
  <c r="V135" i="2" l="1"/>
  <c r="W135" i="2" s="1"/>
  <c r="AN135" i="2" s="1"/>
  <c r="E136" i="2" s="1"/>
  <c r="AM135" i="2" l="1"/>
  <c r="D136" i="2" s="1"/>
  <c r="X135" i="2"/>
  <c r="AO135" i="2" l="1"/>
  <c r="F136" i="2" s="1"/>
  <c r="Y135" i="2"/>
  <c r="AP135" i="2" s="1"/>
  <c r="G136" i="2" s="1"/>
  <c r="Z135" i="2"/>
  <c r="AQ135" i="2" l="1"/>
  <c r="H136" i="2" s="1"/>
  <c r="AA135" i="2"/>
  <c r="AB135" i="2"/>
  <c r="AS135" i="2" s="1"/>
  <c r="J136" i="2" s="1"/>
  <c r="AR135" i="2" l="1"/>
  <c r="I136" i="2" s="1"/>
  <c r="AC135" i="2"/>
  <c r="AT135" i="2" l="1"/>
  <c r="K136" i="2" s="1"/>
  <c r="AD135" i="2"/>
  <c r="AU135" i="2" s="1"/>
  <c r="L136" i="2" s="1"/>
  <c r="AE135" i="2"/>
  <c r="AV135" i="2" l="1"/>
  <c r="M136" i="2" s="1"/>
  <c r="AF135" i="2"/>
  <c r="AW135" i="2" l="1"/>
  <c r="N136" i="2" s="1"/>
  <c r="AG135" i="2"/>
  <c r="AX135" i="2" s="1"/>
  <c r="O136" i="2" s="1"/>
  <c r="AH135" i="2" l="1"/>
  <c r="AY135" i="2" s="1"/>
  <c r="P136" i="2" s="1"/>
  <c r="AI135" i="2" l="1"/>
  <c r="AZ135" i="2" l="1"/>
  <c r="Q136" i="2" s="1"/>
  <c r="AJ135" i="2"/>
  <c r="BA135" i="2" s="1"/>
  <c r="R136" i="2" s="1"/>
  <c r="S136" i="2" s="1"/>
  <c r="T136" i="2" s="1"/>
  <c r="U136" i="2" l="1"/>
  <c r="AK136" i="2"/>
  <c r="B137" i="2" s="1"/>
  <c r="BB136" i="2"/>
  <c r="AL136" i="2" l="1"/>
  <c r="C137" i="2" s="1"/>
  <c r="V136" i="2"/>
  <c r="AM136" i="2"/>
  <c r="D137" i="2" s="1"/>
  <c r="W136" i="2"/>
  <c r="X136" i="2" l="1"/>
  <c r="AN136" i="2"/>
  <c r="E137" i="2" s="1"/>
  <c r="AO136" i="2" l="1"/>
  <c r="F137" i="2" s="1"/>
  <c r="Y136" i="2"/>
  <c r="AP136" i="2" l="1"/>
  <c r="G137" i="2" s="1"/>
  <c r="Z136" i="2"/>
  <c r="AQ136" i="2" l="1"/>
  <c r="H137" i="2" s="1"/>
  <c r="AA136" i="2"/>
  <c r="AR136" i="2" l="1"/>
  <c r="I137" i="2" s="1"/>
  <c r="AB136" i="2"/>
  <c r="AS136" i="2" s="1"/>
  <c r="J137" i="2" s="1"/>
  <c r="AC136" i="2" l="1"/>
  <c r="AT136" i="2" l="1"/>
  <c r="K137" i="2" s="1"/>
  <c r="AD136" i="2"/>
  <c r="AU136" i="2" l="1"/>
  <c r="L137" i="2" s="1"/>
  <c r="AE136" i="2"/>
  <c r="AV136" i="2"/>
  <c r="M137" i="2" s="1"/>
  <c r="AF136" i="2"/>
  <c r="AW136" i="2" s="1"/>
  <c r="N137" i="2" s="1"/>
  <c r="AG136" i="2"/>
  <c r="AX136" i="2" s="1"/>
  <c r="O137" i="2" s="1"/>
  <c r="AH136" i="2" l="1"/>
  <c r="AY136" i="2" l="1"/>
  <c r="P137" i="2" s="1"/>
  <c r="AI136" i="2"/>
  <c r="AZ136" i="2" l="1"/>
  <c r="Q137" i="2" s="1"/>
  <c r="AJ136" i="2"/>
  <c r="BA136" i="2" s="1"/>
  <c r="R137" i="2" s="1"/>
  <c r="S137" i="2" s="1"/>
  <c r="T137" i="2" s="1"/>
  <c r="U137" i="2" l="1"/>
  <c r="AK137" i="2"/>
  <c r="B138" i="2" s="1"/>
  <c r="V137" i="2" l="1"/>
  <c r="BB137" i="2"/>
  <c r="AL137" i="2"/>
  <c r="C138" i="2" s="1"/>
  <c r="W137" i="2" l="1"/>
  <c r="AM137" i="2"/>
  <c r="D138" i="2" s="1"/>
  <c r="AN137" i="2"/>
  <c r="E138" i="2" s="1"/>
  <c r="X137" i="2"/>
  <c r="AO137" i="2" l="1"/>
  <c r="F138" i="2" s="1"/>
  <c r="Y137" i="2"/>
  <c r="Z137" i="2"/>
  <c r="AQ137" i="2" s="1"/>
  <c r="H138" i="2" s="1"/>
  <c r="AA137" i="2"/>
  <c r="AR137" i="2"/>
  <c r="I138" i="2" s="1"/>
  <c r="AP137" i="2" l="1"/>
  <c r="G138" i="2" s="1"/>
  <c r="AB137" i="2"/>
  <c r="AS137" i="2" l="1"/>
  <c r="J138" i="2" s="1"/>
  <c r="AC137" i="2"/>
  <c r="AT137" i="2" s="1"/>
  <c r="K138" i="2" s="1"/>
  <c r="AD137" i="2"/>
  <c r="AU137" i="2" l="1"/>
  <c r="L138" i="2" s="1"/>
  <c r="AE137" i="2"/>
  <c r="AV137" i="2" s="1"/>
  <c r="M138" i="2" s="1"/>
  <c r="AF137" i="2" l="1"/>
  <c r="AG137" i="2" s="1"/>
  <c r="AX137" i="2" s="1"/>
  <c r="O138" i="2" s="1"/>
  <c r="AH137" i="2" l="1"/>
  <c r="AY137" i="2" s="1"/>
  <c r="P138" i="2" s="1"/>
  <c r="AW137" i="2"/>
  <c r="N138" i="2" s="1"/>
  <c r="AI137" i="2" l="1"/>
  <c r="AZ137" i="2" s="1"/>
  <c r="Q138" i="2" s="1"/>
  <c r="AJ137" i="2" l="1"/>
  <c r="BA137" i="2" s="1"/>
  <c r="R138" i="2" s="1"/>
  <c r="S138" i="2" s="1"/>
  <c r="T138" i="2" s="1"/>
  <c r="AK138" i="2" l="1"/>
  <c r="B139" i="2" s="1"/>
  <c r="U138" i="2"/>
  <c r="AL138" i="2" l="1"/>
  <c r="C139" i="2" s="1"/>
  <c r="V138" i="2"/>
  <c r="BB138" i="2"/>
  <c r="AM138" i="2" l="1"/>
  <c r="D139" i="2" s="1"/>
  <c r="W138" i="2"/>
  <c r="X138" i="2"/>
  <c r="AO138" i="2"/>
  <c r="F139" i="2" s="1"/>
  <c r="Y138" i="2" l="1"/>
  <c r="AN138" i="2"/>
  <c r="E139" i="2" s="1"/>
  <c r="AA138" i="2" l="1"/>
  <c r="Z138" i="2"/>
  <c r="AP138" i="2"/>
  <c r="G139" i="2" s="1"/>
  <c r="AB138" i="2" l="1"/>
  <c r="AQ138" i="2"/>
  <c r="H139" i="2" s="1"/>
  <c r="AR138" i="2"/>
  <c r="I139" i="2" s="1"/>
  <c r="AS138" i="2" l="1"/>
  <c r="J139" i="2" s="1"/>
  <c r="AD138" i="2"/>
  <c r="AE138" i="2"/>
  <c r="AV138" i="2" s="1"/>
  <c r="M139" i="2" s="1"/>
  <c r="AF138" i="2"/>
  <c r="AW138" i="2" s="1"/>
  <c r="N139" i="2" s="1"/>
  <c r="AG138" i="2"/>
  <c r="AX138" i="2" s="1"/>
  <c r="O139" i="2" s="1"/>
  <c r="AC138" i="2"/>
  <c r="AT138" i="2" s="1"/>
  <c r="K139" i="2" s="1"/>
  <c r="AU138" i="2" l="1"/>
  <c r="L139" i="2" s="1"/>
  <c r="AH138" i="2"/>
  <c r="AJ138" i="2" s="1"/>
  <c r="BA138" i="2" s="1"/>
  <c r="R139" i="2" s="1"/>
  <c r="S139" i="2" s="1"/>
  <c r="T139" i="2" s="1"/>
  <c r="AY138" i="2"/>
  <c r="P139" i="2" s="1"/>
  <c r="AI138" i="2"/>
  <c r="AZ138" i="2" s="1"/>
  <c r="Q139" i="2" s="1"/>
  <c r="U139" i="2" l="1"/>
  <c r="AK139" i="2"/>
  <c r="B140" i="2" s="1"/>
  <c r="AL139" i="2" l="1"/>
  <c r="C140" i="2" s="1"/>
  <c r="BB139" i="2"/>
  <c r="V139" i="2"/>
  <c r="AM139" i="2" l="1"/>
  <c r="D140" i="2" s="1"/>
  <c r="W139" i="2"/>
  <c r="X139" i="2" l="1"/>
  <c r="AO139" i="2" s="1"/>
  <c r="F140" i="2" s="1"/>
  <c r="Y139" i="2"/>
  <c r="AP139" i="2" s="1"/>
  <c r="G140" i="2" s="1"/>
  <c r="AN139" i="2"/>
  <c r="E140" i="2" s="1"/>
  <c r="Z139" i="2" l="1"/>
  <c r="AQ139" i="2" s="1"/>
  <c r="H140" i="2" s="1"/>
  <c r="AA139" i="2" l="1"/>
  <c r="AR139" i="2" s="1"/>
  <c r="I140" i="2" s="1"/>
  <c r="AB139" i="2" l="1"/>
  <c r="AS139" i="2" s="1"/>
  <c r="J140" i="2" s="1"/>
  <c r="AC139" i="2" l="1"/>
  <c r="AD139" i="2"/>
  <c r="AU139" i="2" s="1"/>
  <c r="L140" i="2" s="1"/>
  <c r="AT139" i="2" l="1"/>
  <c r="K140" i="2" s="1"/>
  <c r="AE139" i="2"/>
  <c r="AV139" i="2" s="1"/>
  <c r="M140" i="2" s="1"/>
  <c r="AF139" i="2" l="1"/>
  <c r="AW139" i="2" l="1"/>
  <c r="N140" i="2" s="1"/>
  <c r="AG139" i="2"/>
  <c r="AX139" i="2" s="1"/>
  <c r="O140" i="2" s="1"/>
  <c r="AH139" i="2" l="1"/>
  <c r="AY139" i="2" s="1"/>
  <c r="P140" i="2" s="1"/>
  <c r="AI139" i="2" l="1"/>
  <c r="AZ139" i="2" s="1"/>
  <c r="Q140" i="2" s="1"/>
  <c r="AJ139" i="2" l="1"/>
  <c r="BA139" i="2" s="1"/>
  <c r="R140" i="2" s="1"/>
  <c r="S140" i="2" s="1"/>
  <c r="T140" i="2" s="1"/>
  <c r="U140" i="2" l="1"/>
  <c r="AK140" i="2"/>
  <c r="B141" i="2" s="1"/>
  <c r="AL140" i="2" l="1"/>
  <c r="C141" i="2" s="1"/>
  <c r="BB140" i="2"/>
  <c r="V140" i="2"/>
  <c r="AM140" i="2" l="1"/>
  <c r="D141" i="2" s="1"/>
  <c r="W140" i="2"/>
  <c r="AN140" i="2" s="1"/>
  <c r="E141" i="2" s="1"/>
  <c r="X140" i="2" l="1"/>
  <c r="AO140" i="2" l="1"/>
  <c r="F141" i="2" s="1"/>
  <c r="Y140" i="2"/>
  <c r="AP140" i="2" l="1"/>
  <c r="G141" i="2" s="1"/>
  <c r="Z140" i="2"/>
  <c r="AQ140" i="2" s="1"/>
  <c r="H141" i="2" s="1"/>
  <c r="AA140" i="2" l="1"/>
  <c r="AR140" i="2" l="1"/>
  <c r="I141" i="2" s="1"/>
  <c r="AB140" i="2"/>
  <c r="AS140" i="2" l="1"/>
  <c r="J141" i="2" s="1"/>
  <c r="AC140" i="2"/>
  <c r="AT140" i="2" s="1"/>
  <c r="K141" i="2" s="1"/>
  <c r="AD140" i="2" l="1"/>
  <c r="AU140" i="2" l="1"/>
  <c r="L141" i="2" s="1"/>
  <c r="AE140" i="2"/>
  <c r="AV140" i="2" l="1"/>
  <c r="M141" i="2" s="1"/>
  <c r="AF140" i="2"/>
  <c r="AG140" i="2"/>
  <c r="AX140" i="2" s="1"/>
  <c r="O141" i="2" s="1"/>
  <c r="AI140" i="2" l="1"/>
  <c r="AW140" i="2"/>
  <c r="N141" i="2" s="1"/>
  <c r="AH140" i="2"/>
  <c r="AY140" i="2" s="1"/>
  <c r="P141" i="2" s="1"/>
  <c r="AZ140" i="2" l="1"/>
  <c r="Q141" i="2" s="1"/>
  <c r="AJ140" i="2"/>
  <c r="BA140" i="2" s="1"/>
  <c r="R141" i="2" s="1"/>
  <c r="S141" i="2" s="1"/>
  <c r="T141" i="2" s="1"/>
  <c r="U141" i="2" l="1"/>
  <c r="V141" i="2" s="1"/>
  <c r="AM141" i="2" s="1"/>
  <c r="D142" i="2" s="1"/>
  <c r="AK141" i="2"/>
  <c r="B142" i="2" s="1"/>
  <c r="AL141" i="2" l="1"/>
  <c r="C142" i="2" s="1"/>
  <c r="BB141" i="2"/>
  <c r="W141" i="2"/>
  <c r="AN141" i="2" s="1"/>
  <c r="E142" i="2" s="1"/>
  <c r="X141" i="2"/>
  <c r="AO141" i="2" s="1"/>
  <c r="F142" i="2" s="1"/>
  <c r="Y141" i="2"/>
  <c r="AP141" i="2" s="1"/>
  <c r="G142" i="2" s="1"/>
  <c r="Z141" i="2" l="1"/>
  <c r="AQ141" i="2" s="1"/>
  <c r="H142" i="2" s="1"/>
  <c r="AA141" i="2"/>
  <c r="AR141" i="2" s="1"/>
  <c r="I142" i="2" s="1"/>
  <c r="AB141" i="2" l="1"/>
  <c r="AS141" i="2" s="1"/>
  <c r="J142" i="2" s="1"/>
  <c r="AC141" i="2" l="1"/>
  <c r="AT141" i="2" s="1"/>
  <c r="K142" i="2" s="1"/>
  <c r="AD141" i="2"/>
  <c r="AU141" i="2" s="1"/>
  <c r="L142" i="2" s="1"/>
  <c r="AE141" i="2" l="1"/>
  <c r="AV141" i="2" s="1"/>
  <c r="M142" i="2" s="1"/>
  <c r="AF141" i="2" l="1"/>
  <c r="AW141" i="2" s="1"/>
  <c r="N142" i="2" s="1"/>
  <c r="AG141" i="2" l="1"/>
  <c r="AX141" i="2" l="1"/>
  <c r="O142" i="2" s="1"/>
  <c r="AH141" i="2"/>
  <c r="AY141" i="2" s="1"/>
  <c r="P142" i="2" s="1"/>
  <c r="AI141" i="2"/>
  <c r="AZ141" i="2" s="1"/>
  <c r="Q142" i="2" s="1"/>
  <c r="AJ141" i="2" l="1"/>
  <c r="BA141" i="2" s="1"/>
  <c r="R142" i="2" s="1"/>
  <c r="S142" i="2" s="1"/>
  <c r="T142" i="2" s="1"/>
  <c r="AK142" i="2" l="1"/>
  <c r="B143" i="2" s="1"/>
  <c r="U142" i="2"/>
  <c r="AL142" i="2" l="1"/>
  <c r="C143" i="2" s="1"/>
  <c r="BB142" i="2"/>
  <c r="V142" i="2"/>
  <c r="AM142" i="2" l="1"/>
  <c r="D143" i="2" s="1"/>
  <c r="W142" i="2"/>
  <c r="X142" i="2" s="1"/>
  <c r="AO142" i="2" s="1"/>
  <c r="F143" i="2" s="1"/>
  <c r="AN142" i="2" l="1"/>
  <c r="E143" i="2" s="1"/>
  <c r="Y142" i="2"/>
  <c r="Z142" i="2" s="1"/>
  <c r="AQ142" i="2" s="1"/>
  <c r="H143" i="2" s="1"/>
  <c r="AP142" i="2" l="1"/>
  <c r="G143" i="2" s="1"/>
  <c r="AA142" i="2"/>
  <c r="AR142" i="2" l="1"/>
  <c r="I143" i="2" s="1"/>
  <c r="AB142" i="2"/>
  <c r="AS142" i="2" l="1"/>
  <c r="J143" i="2" s="1"/>
  <c r="AC142" i="2"/>
  <c r="AT142" i="2" s="1"/>
  <c r="K143" i="2" s="1"/>
  <c r="AD142" i="2" l="1"/>
  <c r="AU142" i="2" s="1"/>
  <c r="L143" i="2" s="1"/>
  <c r="AE142" i="2" l="1"/>
  <c r="AV142" i="2" l="1"/>
  <c r="M143" i="2" s="1"/>
  <c r="AF142" i="2"/>
  <c r="AW142" i="2" s="1"/>
  <c r="N143" i="2" s="1"/>
  <c r="AG142" i="2" l="1"/>
  <c r="AX142" i="2" s="1"/>
  <c r="O143" i="2" s="1"/>
  <c r="AH142" i="2" l="1"/>
  <c r="AY142" i="2" s="1"/>
  <c r="P143" i="2" s="1"/>
  <c r="AI142" i="2" l="1"/>
  <c r="AZ142" i="2" s="1"/>
  <c r="Q143" i="2" s="1"/>
  <c r="AJ142" i="2" l="1"/>
  <c r="BA142" i="2" s="1"/>
  <c r="R143" i="2" s="1"/>
  <c r="S143" i="2" s="1"/>
  <c r="T143" i="2" s="1"/>
  <c r="AK143" i="2" l="1"/>
  <c r="B144" i="2" s="1"/>
  <c r="U143" i="2"/>
  <c r="AL143" i="2" s="1"/>
  <c r="C144" i="2" s="1"/>
  <c r="V143" i="2" l="1"/>
  <c r="BB143" i="2"/>
  <c r="AM143" i="2" l="1"/>
  <c r="D144" i="2" s="1"/>
  <c r="W143" i="2"/>
  <c r="X143" i="2" s="1"/>
  <c r="AO143" i="2" s="1"/>
  <c r="F144" i="2" s="1"/>
  <c r="AN143" i="2" l="1"/>
  <c r="E144" i="2" s="1"/>
  <c r="Y143" i="2"/>
  <c r="AP143" i="2" l="1"/>
  <c r="G144" i="2" s="1"/>
  <c r="Z143" i="2"/>
  <c r="AQ143" i="2" l="1"/>
  <c r="H144" i="2" s="1"/>
  <c r="AA143" i="2"/>
  <c r="AR143" i="2" l="1"/>
  <c r="I144" i="2" s="1"/>
  <c r="AB143" i="2"/>
  <c r="AS143" i="2" l="1"/>
  <c r="J144" i="2" s="1"/>
  <c r="AC143" i="2"/>
  <c r="AT143" i="2" l="1"/>
  <c r="K144" i="2" s="1"/>
  <c r="AD143" i="2"/>
  <c r="AE143" i="2" s="1"/>
  <c r="AV143" i="2" s="1"/>
  <c r="M144" i="2" s="1"/>
  <c r="AU143" i="2" l="1"/>
  <c r="L144" i="2" s="1"/>
  <c r="AF143" i="2"/>
  <c r="AW143" i="2" l="1"/>
  <c r="N144" i="2" s="1"/>
  <c r="AG143" i="2"/>
  <c r="AX143" i="2" s="1"/>
  <c r="O144" i="2" s="1"/>
  <c r="AH143" i="2" l="1"/>
  <c r="AY143" i="2" s="1"/>
  <c r="P144" i="2" s="1"/>
  <c r="AI143" i="2" l="1"/>
  <c r="AZ143" i="2" l="1"/>
  <c r="Q144" i="2" s="1"/>
  <c r="AJ143" i="2"/>
  <c r="BA143" i="2" s="1"/>
  <c r="R144" i="2" s="1"/>
  <c r="S144" i="2" l="1"/>
  <c r="T144" i="2" s="1"/>
  <c r="AK144" i="2" l="1"/>
  <c r="B145" i="2" s="1"/>
  <c r="U144" i="2"/>
  <c r="V144" i="2"/>
  <c r="AM144" i="2" s="1"/>
  <c r="D145" i="2" s="1"/>
  <c r="AL144" i="2" l="1"/>
  <c r="C145" i="2" s="1"/>
  <c r="W144" i="2"/>
  <c r="BB144" i="2"/>
  <c r="X144" i="2"/>
  <c r="Y144" i="2"/>
  <c r="AP144" i="2" s="1"/>
  <c r="G145" i="2" s="1"/>
  <c r="Z144" i="2"/>
  <c r="AQ144" i="2" s="1"/>
  <c r="H145" i="2" s="1"/>
  <c r="AN144" i="2" l="1"/>
  <c r="E145" i="2" s="1"/>
  <c r="AA144" i="2"/>
  <c r="AO144" i="2"/>
  <c r="F145" i="2" s="1"/>
  <c r="AR144" i="2" l="1"/>
  <c r="I145" i="2" s="1"/>
  <c r="AB144" i="2"/>
  <c r="AS144" i="2"/>
  <c r="J145" i="2" s="1"/>
  <c r="AC144" i="2" l="1"/>
  <c r="AT144" i="2" l="1"/>
  <c r="K145" i="2" s="1"/>
  <c r="AD144" i="2"/>
  <c r="AU144" i="2" s="1"/>
  <c r="L145" i="2" s="1"/>
  <c r="AE144" i="2"/>
  <c r="AV144" i="2" s="1"/>
  <c r="M145" i="2" s="1"/>
  <c r="AF144" i="2"/>
  <c r="AW144" i="2" l="1"/>
  <c r="N145" i="2" s="1"/>
  <c r="AG144" i="2"/>
  <c r="AX144" i="2" l="1"/>
  <c r="O145" i="2" s="1"/>
  <c r="AH144" i="2"/>
  <c r="AY144" i="2" l="1"/>
  <c r="P145" i="2" s="1"/>
  <c r="AI144" i="2"/>
  <c r="AZ144" i="2" s="1"/>
  <c r="Q145" i="2" s="1"/>
  <c r="AJ144" i="2"/>
  <c r="BA144" i="2" s="1"/>
  <c r="R145" i="2" s="1"/>
  <c r="S145" i="2" s="1"/>
  <c r="T145" i="2" s="1"/>
  <c r="U145" i="2" l="1"/>
  <c r="AK145" i="2"/>
  <c r="B146" i="2" s="1"/>
  <c r="AL145" i="2" l="1"/>
  <c r="C146" i="2" s="1"/>
  <c r="BB145" i="2"/>
  <c r="V145" i="2"/>
  <c r="AM145" i="2" l="1"/>
  <c r="D146" i="2" s="1"/>
  <c r="W145" i="2"/>
  <c r="X145" i="2" l="1"/>
  <c r="Y145" i="2" s="1"/>
  <c r="AN145" i="2"/>
  <c r="E146" i="2" s="1"/>
  <c r="Z145" i="2" l="1"/>
  <c r="AO145" i="2"/>
  <c r="F146" i="2" s="1"/>
  <c r="AP145" i="2"/>
  <c r="G146" i="2" s="1"/>
  <c r="AQ145" i="2" l="1"/>
  <c r="H146" i="2" s="1"/>
  <c r="AA145" i="2"/>
  <c r="AB145" i="2" s="1"/>
  <c r="AS145" i="2" l="1"/>
  <c r="J146" i="2" s="1"/>
  <c r="AR145" i="2"/>
  <c r="I146" i="2" s="1"/>
  <c r="AC145" i="2"/>
  <c r="AT145" i="2" l="1"/>
  <c r="K146" i="2" s="1"/>
  <c r="AD145" i="2"/>
  <c r="AE145" i="2" l="1"/>
  <c r="AU145" i="2"/>
  <c r="L146" i="2" s="1"/>
  <c r="AV145" i="2" l="1"/>
  <c r="M146" i="2" s="1"/>
  <c r="AF145" i="2"/>
  <c r="AW145" i="2" l="1"/>
  <c r="N146" i="2" s="1"/>
  <c r="AG145" i="2"/>
  <c r="AX145" i="2" l="1"/>
  <c r="O146" i="2" s="1"/>
  <c r="AH145" i="2"/>
  <c r="AI145" i="2" s="1"/>
  <c r="AY145" i="2"/>
  <c r="P146" i="2" s="1"/>
  <c r="AJ145" i="2" l="1"/>
  <c r="BA145" i="2" s="1"/>
  <c r="R146" i="2" s="1"/>
  <c r="AZ145" i="2"/>
  <c r="Q146" i="2" s="1"/>
  <c r="S146" i="2" l="1"/>
  <c r="T146" i="2" s="1"/>
  <c r="AK146" i="2" l="1"/>
  <c r="B147" i="2" s="1"/>
  <c r="U146" i="2"/>
  <c r="BB146" i="2"/>
  <c r="V146" i="2" l="1"/>
  <c r="W146" i="2"/>
  <c r="AN146" i="2" s="1"/>
  <c r="E147" i="2" s="1"/>
  <c r="AL146" i="2"/>
  <c r="C147" i="2" s="1"/>
  <c r="AM146" i="2" l="1"/>
  <c r="D147" i="2" s="1"/>
  <c r="X146" i="2"/>
  <c r="Y146" i="2" l="1"/>
  <c r="AO146" i="2"/>
  <c r="F147" i="2" s="1"/>
  <c r="Z146" i="2" l="1"/>
  <c r="AP146" i="2"/>
  <c r="G147" i="2" s="1"/>
  <c r="AQ146" i="2" l="1"/>
  <c r="H147" i="2" s="1"/>
  <c r="AA146" i="2"/>
  <c r="AR146" i="2" l="1"/>
  <c r="I147" i="2" s="1"/>
  <c r="AB146" i="2"/>
  <c r="AC146" i="2"/>
  <c r="AT146" i="2" s="1"/>
  <c r="K147" i="2" s="1"/>
  <c r="AS146" i="2" l="1"/>
  <c r="J147" i="2" s="1"/>
  <c r="AD146" i="2"/>
  <c r="AE146" i="2"/>
  <c r="AV146" i="2" s="1"/>
  <c r="M147" i="2" s="1"/>
  <c r="AU146" i="2" l="1"/>
  <c r="L147" i="2" s="1"/>
  <c r="AF146" i="2"/>
  <c r="AW146" i="2" l="1"/>
  <c r="N147" i="2" s="1"/>
  <c r="AG146" i="2"/>
  <c r="AX146" i="2" l="1"/>
  <c r="O147" i="2" s="1"/>
  <c r="AH146" i="2"/>
  <c r="AY146" i="2" l="1"/>
  <c r="P147" i="2" s="1"/>
  <c r="AI146" i="2"/>
  <c r="AZ146" i="2" l="1"/>
  <c r="Q147" i="2" s="1"/>
  <c r="AJ146" i="2"/>
  <c r="BA146" i="2" s="1"/>
  <c r="R147" i="2" s="1"/>
  <c r="S147" i="2" s="1"/>
  <c r="T147" i="2" s="1"/>
  <c r="AK147" i="2" l="1"/>
  <c r="B148" i="2" s="1"/>
  <c r="U147" i="2"/>
  <c r="BB147" i="2"/>
  <c r="AL147" i="2" l="1"/>
  <c r="C148" i="2" s="1"/>
  <c r="V147" i="2"/>
  <c r="W147" i="2" l="1"/>
  <c r="AM147" i="2"/>
  <c r="D148" i="2" s="1"/>
  <c r="X147" i="2" l="1"/>
  <c r="AN147" i="2"/>
  <c r="E148" i="2" s="1"/>
  <c r="AO147" i="2" l="1"/>
  <c r="F148" i="2" s="1"/>
  <c r="Y147" i="2"/>
  <c r="AP147" i="2" l="1"/>
  <c r="G148" i="2" s="1"/>
  <c r="Z147" i="2"/>
  <c r="AB147" i="2" l="1"/>
  <c r="AQ147" i="2"/>
  <c r="H148" i="2" s="1"/>
  <c r="AC147" i="2"/>
  <c r="AT147" i="2" s="1"/>
  <c r="K148" i="2" s="1"/>
  <c r="AA147" i="2"/>
  <c r="AR147" i="2" s="1"/>
  <c r="I148" i="2" s="1"/>
  <c r="AS147" i="2" l="1"/>
  <c r="J148" i="2" s="1"/>
  <c r="AD147" i="2"/>
  <c r="AE147" i="2"/>
  <c r="AV147" i="2" s="1"/>
  <c r="M148" i="2" s="1"/>
  <c r="AF147" i="2"/>
  <c r="AW147" i="2" s="1"/>
  <c r="N148" i="2" s="1"/>
  <c r="AG147" i="2"/>
  <c r="AX147" i="2" s="1"/>
  <c r="O148" i="2" s="1"/>
  <c r="AU147" i="2" l="1"/>
  <c r="L148" i="2" s="1"/>
  <c r="AH147" i="2"/>
  <c r="AY147" i="2" s="1"/>
  <c r="P148" i="2" s="1"/>
  <c r="S148" i="2" s="1"/>
  <c r="T148" i="2" s="1"/>
  <c r="AI147" i="2"/>
  <c r="AZ147" i="2" s="1"/>
  <c r="Q148" i="2" s="1"/>
  <c r="AJ147" i="2"/>
  <c r="BA147" i="2" s="1"/>
  <c r="R148" i="2" s="1"/>
  <c r="U148" i="2" l="1"/>
  <c r="AK148" i="2"/>
  <c r="B149" i="2" s="1"/>
  <c r="AL148" i="2" l="1"/>
  <c r="C149" i="2" s="1"/>
  <c r="V148" i="2"/>
  <c r="BB148" i="2"/>
  <c r="W148" i="2" l="1"/>
  <c r="AM148" i="2"/>
  <c r="D149" i="2" s="1"/>
  <c r="AN148" i="2" l="1"/>
  <c r="E149" i="2" s="1"/>
  <c r="X148" i="2"/>
  <c r="AO148" i="2" l="1"/>
  <c r="F149" i="2" s="1"/>
  <c r="Y148" i="2"/>
  <c r="Z148" i="2" l="1"/>
  <c r="AP148" i="2"/>
  <c r="G149" i="2" s="1"/>
  <c r="AA148" i="2" l="1"/>
  <c r="AQ148" i="2"/>
  <c r="H149" i="2" s="1"/>
  <c r="AB148" i="2" l="1"/>
  <c r="AR148" i="2"/>
  <c r="I149" i="2" s="1"/>
  <c r="AC148" i="2" l="1"/>
  <c r="AS148" i="2"/>
  <c r="J149" i="2" s="1"/>
  <c r="AD148" i="2"/>
  <c r="AT148" i="2" l="1"/>
  <c r="K149" i="2" s="1"/>
  <c r="AE148" i="2"/>
  <c r="AF148" i="2" s="1"/>
  <c r="AW148" i="2" s="1"/>
  <c r="N149" i="2" s="1"/>
  <c r="AU148" i="2"/>
  <c r="L149" i="2" s="1"/>
  <c r="AG148" i="2" l="1"/>
  <c r="AV148" i="2"/>
  <c r="M149" i="2" s="1"/>
  <c r="AH148" i="2" l="1"/>
  <c r="AX148" i="2"/>
  <c r="O149" i="2" s="1"/>
  <c r="AI148" i="2" l="1"/>
  <c r="AY148" i="2"/>
  <c r="P149" i="2" s="1"/>
  <c r="AJ148" i="2" l="1"/>
  <c r="BA148" i="2" s="1"/>
  <c r="R149" i="2" s="1"/>
  <c r="AZ148" i="2"/>
  <c r="Q149" i="2" s="1"/>
  <c r="S149" i="2" l="1"/>
  <c r="T149" i="2" s="1"/>
  <c r="BB149" i="2" s="1"/>
  <c r="U149" i="2"/>
  <c r="AK149" i="2"/>
  <c r="B150" i="2" s="1"/>
  <c r="V149" i="2"/>
  <c r="AM149" i="2" s="1"/>
  <c r="D150" i="2" s="1"/>
  <c r="AL149" i="2" l="1"/>
  <c r="C150" i="2" s="1"/>
  <c r="W149" i="2"/>
  <c r="AN149" i="2" l="1"/>
  <c r="E150" i="2" s="1"/>
  <c r="X149" i="2"/>
  <c r="Y149" i="2"/>
  <c r="AO149" i="2" l="1"/>
  <c r="F150" i="2" s="1"/>
  <c r="Z149" i="2"/>
  <c r="AP149" i="2"/>
  <c r="G150" i="2" s="1"/>
  <c r="AA149" i="2" l="1"/>
  <c r="AQ149" i="2"/>
  <c r="H150" i="2" s="1"/>
  <c r="AB149" i="2" l="1"/>
  <c r="AR149" i="2"/>
  <c r="I150" i="2" s="1"/>
  <c r="AS149" i="2" l="1"/>
  <c r="J150" i="2" s="1"/>
  <c r="AC149" i="2"/>
  <c r="AT149" i="2" l="1"/>
  <c r="K150" i="2" s="1"/>
  <c r="AD149" i="2"/>
  <c r="AE149" i="2" l="1"/>
  <c r="AF149" i="2" s="1"/>
  <c r="AU149" i="2"/>
  <c r="L150" i="2" s="1"/>
  <c r="AG149" i="2" l="1"/>
  <c r="AH149" i="2" s="1"/>
  <c r="AV149" i="2"/>
  <c r="M150" i="2" s="1"/>
  <c r="AW149" i="2"/>
  <c r="N150" i="2" s="1"/>
  <c r="AI149" i="2" l="1"/>
  <c r="AX149" i="2"/>
  <c r="O150" i="2" s="1"/>
  <c r="AY149" i="2"/>
  <c r="P150" i="2" s="1"/>
  <c r="AZ149" i="2" l="1"/>
  <c r="Q150" i="2" s="1"/>
  <c r="AJ149" i="2"/>
  <c r="BA149" i="2" s="1"/>
  <c r="R150" i="2" s="1"/>
  <c r="S150" i="2" s="1"/>
  <c r="T150" i="2" s="1"/>
  <c r="U150" i="2" l="1"/>
  <c r="V150" i="2"/>
  <c r="AM150" i="2" s="1"/>
  <c r="D151" i="2" s="1"/>
  <c r="BB150" i="2"/>
  <c r="AK150" i="2"/>
  <c r="B151" i="2" s="1"/>
  <c r="AL150" i="2"/>
  <c r="C151" i="2" s="1"/>
  <c r="W150" i="2"/>
  <c r="X150" i="2"/>
  <c r="AO150" i="2" s="1"/>
  <c r="F151" i="2" s="1"/>
  <c r="Y150" i="2"/>
  <c r="AP150" i="2" s="1"/>
  <c r="G151" i="2" s="1"/>
  <c r="Z150" i="2" l="1"/>
  <c r="AB150" i="2" s="1"/>
  <c r="AA150" i="2"/>
  <c r="AR150" i="2" s="1"/>
  <c r="I151" i="2" s="1"/>
  <c r="AN150" i="2"/>
  <c r="E151" i="2" s="1"/>
  <c r="AQ150" i="2" l="1"/>
  <c r="H151" i="2" s="1"/>
  <c r="AC150" i="2"/>
  <c r="AS150" i="2"/>
  <c r="J151" i="2" s="1"/>
  <c r="AT150" i="2" l="1"/>
  <c r="K151" i="2" s="1"/>
  <c r="AD150" i="2"/>
  <c r="AE150" i="2"/>
  <c r="AV150" i="2" s="1"/>
  <c r="M151" i="2" s="1"/>
  <c r="AU150" i="2" l="1"/>
  <c r="L151" i="2" s="1"/>
  <c r="AF150" i="2"/>
  <c r="AW150" i="2" l="1"/>
  <c r="N151" i="2" s="1"/>
  <c r="AG150" i="2"/>
  <c r="AH150" i="2" l="1"/>
  <c r="AX150" i="2"/>
  <c r="O151" i="2" s="1"/>
  <c r="AY150" i="2" l="1"/>
  <c r="P151" i="2" s="1"/>
  <c r="AI150" i="2"/>
  <c r="AZ150" i="2" s="1"/>
  <c r="Q151" i="2" s="1"/>
  <c r="AJ150" i="2"/>
  <c r="BA150" i="2" s="1"/>
  <c r="R151" i="2" s="1"/>
  <c r="S151" i="2" s="1"/>
  <c r="T151" i="2" s="1"/>
  <c r="AK151" i="2"/>
  <c r="B152" i="2" s="1"/>
  <c r="U151" i="2"/>
  <c r="BB151" i="2" l="1"/>
  <c r="V151" i="2"/>
  <c r="W151" i="2" s="1"/>
  <c r="AL151" i="2"/>
  <c r="C152" i="2" s="1"/>
  <c r="AN151" i="2"/>
  <c r="E152" i="2" s="1"/>
  <c r="X151" i="2"/>
  <c r="AM151" i="2"/>
  <c r="D152" i="2" s="1"/>
  <c r="Y151" i="2" l="1"/>
  <c r="AO151" i="2"/>
  <c r="F152" i="2" s="1"/>
  <c r="Z151" i="2" l="1"/>
  <c r="AP151" i="2"/>
  <c r="G152" i="2" s="1"/>
  <c r="AA151" i="2" l="1"/>
  <c r="AQ151" i="2"/>
  <c r="H152" i="2" s="1"/>
  <c r="AB151" i="2" l="1"/>
  <c r="AR151" i="2"/>
  <c r="I152" i="2" s="1"/>
  <c r="AC151" i="2" l="1"/>
  <c r="AD151" i="2"/>
  <c r="AS151" i="2"/>
  <c r="J152" i="2" s="1"/>
  <c r="AT151" i="2" l="1"/>
  <c r="K152" i="2" s="1"/>
  <c r="AU151" i="2"/>
  <c r="L152" i="2" s="1"/>
  <c r="AE151" i="2"/>
  <c r="AF151" i="2"/>
  <c r="AW151" i="2" s="1"/>
  <c r="N152" i="2" s="1"/>
  <c r="AG151" i="2" l="1"/>
  <c r="AH151" i="2"/>
  <c r="AV151" i="2"/>
  <c r="M152" i="2" s="1"/>
  <c r="AI151" i="2"/>
  <c r="AZ151" i="2" s="1"/>
  <c r="Q152" i="2" s="1"/>
  <c r="AX151" i="2"/>
  <c r="O152" i="2" s="1"/>
  <c r="AY151" i="2" l="1"/>
  <c r="P152" i="2" s="1"/>
  <c r="AJ151" i="2"/>
  <c r="BA151" i="2" s="1"/>
  <c r="R152" i="2" s="1"/>
  <c r="S152" i="2" s="1"/>
  <c r="T152" i="2" s="1"/>
  <c r="BB152" i="2" l="1"/>
  <c r="AK152" i="2"/>
  <c r="B153" i="2" s="1"/>
  <c r="U152" i="2"/>
  <c r="AL152" i="2" s="1"/>
  <c r="C153" i="2" s="1"/>
  <c r="V152" i="2"/>
  <c r="AM152" i="2" l="1"/>
  <c r="D153" i="2" s="1"/>
  <c r="W152" i="2"/>
  <c r="X152" i="2" l="1"/>
  <c r="Y152" i="2" s="1"/>
  <c r="AN152" i="2"/>
  <c r="E153" i="2" s="1"/>
  <c r="AO152" i="2" l="1"/>
  <c r="F153" i="2" s="1"/>
  <c r="Z152" i="2"/>
  <c r="AA152" i="2" s="1"/>
  <c r="AP152" i="2"/>
  <c r="G153" i="2" s="1"/>
  <c r="AB152" i="2" l="1"/>
  <c r="AR152" i="2"/>
  <c r="I153" i="2" s="1"/>
  <c r="AQ152" i="2"/>
  <c r="H153" i="2" s="1"/>
  <c r="AD152" i="2" l="1"/>
  <c r="AE152" i="2"/>
  <c r="AV152" i="2" s="1"/>
  <c r="M153" i="2" s="1"/>
  <c r="AS152" i="2"/>
  <c r="J153" i="2" s="1"/>
  <c r="AC152" i="2"/>
  <c r="AT152" i="2"/>
  <c r="K153" i="2" s="1"/>
  <c r="AF152" i="2" l="1"/>
  <c r="AU152" i="2"/>
  <c r="L153" i="2" s="1"/>
  <c r="AW152" i="2" l="1"/>
  <c r="N153" i="2" s="1"/>
  <c r="AG152" i="2"/>
  <c r="AH152" i="2" s="1"/>
  <c r="AI152" i="2" l="1"/>
  <c r="AZ152" i="2" s="1"/>
  <c r="Q153" i="2" s="1"/>
  <c r="AX152" i="2"/>
  <c r="O153" i="2" s="1"/>
  <c r="AJ152" i="2"/>
  <c r="BA152" i="2" s="1"/>
  <c r="R153" i="2" s="1"/>
  <c r="S153" i="2" s="1"/>
  <c r="T153" i="2" s="1"/>
  <c r="AY152" i="2"/>
  <c r="P153" i="2" s="1"/>
  <c r="AK153" i="2" l="1"/>
  <c r="B154" i="2" s="1"/>
  <c r="U153" i="2"/>
  <c r="BB153" i="2"/>
  <c r="AL153" i="2" l="1"/>
  <c r="C154" i="2" s="1"/>
  <c r="V153" i="2"/>
  <c r="W153" i="2" l="1"/>
  <c r="AN153" i="2" s="1"/>
  <c r="E154" i="2" s="1"/>
  <c r="AM153" i="2"/>
  <c r="D154" i="2" s="1"/>
  <c r="X153" i="2"/>
  <c r="AO153" i="2" l="1"/>
  <c r="F154" i="2" s="1"/>
  <c r="Y153" i="2"/>
  <c r="AP153" i="2" l="1"/>
  <c r="G154" i="2" s="1"/>
  <c r="Z153" i="2"/>
  <c r="AA153" i="2" s="1"/>
  <c r="AB153" i="2" l="1"/>
  <c r="AQ153" i="2"/>
  <c r="H154" i="2" s="1"/>
  <c r="AR153" i="2"/>
  <c r="I154" i="2" s="1"/>
  <c r="AS153" i="2" l="1"/>
  <c r="J154" i="2" s="1"/>
  <c r="AC153" i="2"/>
  <c r="AD153" i="2"/>
  <c r="AF153" i="2" l="1"/>
  <c r="AT153" i="2"/>
  <c r="K154" i="2" s="1"/>
  <c r="AU153" i="2"/>
  <c r="L154" i="2" s="1"/>
  <c r="AE153" i="2"/>
  <c r="AV153" i="2" s="1"/>
  <c r="M154" i="2" s="1"/>
  <c r="AW153" i="2" l="1"/>
  <c r="N154" i="2" s="1"/>
  <c r="AG153" i="2"/>
  <c r="AX153" i="2" l="1"/>
  <c r="O154" i="2" s="1"/>
  <c r="AH153" i="2"/>
  <c r="AI153" i="2" l="1"/>
  <c r="AY153" i="2"/>
  <c r="P154" i="2" s="1"/>
  <c r="AZ153" i="2" l="1"/>
  <c r="Q154" i="2" s="1"/>
  <c r="AJ153" i="2"/>
  <c r="BA153" i="2" s="1"/>
  <c r="R154" i="2" s="1"/>
  <c r="S154" i="2" s="1"/>
  <c r="T154" i="2" s="1"/>
  <c r="AK154" i="2" l="1"/>
  <c r="B155" i="2" s="1"/>
  <c r="U154" i="2"/>
  <c r="V154" i="2" s="1"/>
  <c r="AL154" i="2" l="1"/>
  <c r="C155" i="2" s="1"/>
  <c r="BB154" i="2"/>
  <c r="W154" i="2"/>
  <c r="AM154" i="2"/>
  <c r="D155" i="2" s="1"/>
  <c r="X154" i="2" l="1"/>
  <c r="AN154" i="2"/>
  <c r="E155" i="2" s="1"/>
  <c r="Y154" i="2" l="1"/>
  <c r="Z154" i="2" s="1"/>
  <c r="AO154" i="2"/>
  <c r="F155" i="2" s="1"/>
  <c r="AP154" i="2" l="1"/>
  <c r="G155" i="2" s="1"/>
  <c r="AA154" i="2"/>
  <c r="AQ154" i="2"/>
  <c r="H155" i="2" s="1"/>
  <c r="AR154" i="2" l="1"/>
  <c r="I155" i="2" s="1"/>
  <c r="AB154" i="2"/>
  <c r="AS154" i="2" l="1"/>
  <c r="J155" i="2" s="1"/>
  <c r="AC154" i="2"/>
  <c r="AD154" i="2" l="1"/>
  <c r="AT154" i="2"/>
  <c r="K155" i="2" s="1"/>
  <c r="AU154" i="2" l="1"/>
  <c r="L155" i="2" s="1"/>
  <c r="AE154" i="2"/>
  <c r="AV154" i="2" l="1"/>
  <c r="M155" i="2" s="1"/>
  <c r="AF154" i="2"/>
  <c r="AG154" i="2"/>
  <c r="AI154" i="2" l="1"/>
  <c r="AW154" i="2"/>
  <c r="N155" i="2" s="1"/>
  <c r="AX154" i="2"/>
  <c r="O155" i="2" s="1"/>
  <c r="AH154" i="2"/>
  <c r="AY154" i="2" s="1"/>
  <c r="P155" i="2" s="1"/>
  <c r="AZ154" i="2" l="1"/>
  <c r="Q155" i="2" s="1"/>
  <c r="AJ154" i="2"/>
  <c r="BA154" i="2" s="1"/>
  <c r="R155" i="2" s="1"/>
  <c r="S155" i="2" s="1"/>
  <c r="T155" i="2" s="1"/>
  <c r="AK155" i="2" l="1"/>
  <c r="B156" i="2" s="1"/>
  <c r="U155" i="2"/>
  <c r="BB155" i="2"/>
  <c r="V155" i="2"/>
  <c r="AM155" i="2" s="1"/>
  <c r="D156" i="2" s="1"/>
  <c r="W155" i="2"/>
  <c r="Y155" i="2" l="1"/>
  <c r="AL155" i="2"/>
  <c r="C156" i="2" s="1"/>
  <c r="AN155" i="2"/>
  <c r="E156" i="2" s="1"/>
  <c r="X155" i="2"/>
  <c r="Z155" i="2" l="1"/>
  <c r="AO155" i="2"/>
  <c r="F156" i="2" s="1"/>
  <c r="AP155" i="2"/>
  <c r="G156" i="2" s="1"/>
  <c r="AQ155" i="2" l="1"/>
  <c r="H156" i="2" s="1"/>
  <c r="AA155" i="2"/>
  <c r="AR155" i="2" s="1"/>
  <c r="I156" i="2" s="1"/>
  <c r="AB155" i="2"/>
  <c r="AS155" i="2" s="1"/>
  <c r="J156" i="2" s="1"/>
  <c r="AC155" i="2"/>
  <c r="AT155" i="2"/>
  <c r="K156" i="2" s="1"/>
  <c r="AD155" i="2"/>
  <c r="AE155" i="2"/>
  <c r="AV155" i="2" s="1"/>
  <c r="M156" i="2" s="1"/>
  <c r="AU155" i="2" l="1"/>
  <c r="L156" i="2" s="1"/>
  <c r="AF155" i="2"/>
  <c r="AG155" i="2"/>
  <c r="AX155" i="2" s="1"/>
  <c r="O156" i="2" s="1"/>
  <c r="AJ155" i="2" l="1"/>
  <c r="BA155" i="2" s="1"/>
  <c r="R156" i="2" s="1"/>
  <c r="S156" i="2" s="1"/>
  <c r="T156" i="2" s="1"/>
  <c r="AW155" i="2"/>
  <c r="N156" i="2" s="1"/>
  <c r="AH155" i="2"/>
  <c r="AY155" i="2" s="1"/>
  <c r="P156" i="2" s="1"/>
  <c r="AI155" i="2"/>
  <c r="AZ155" i="2" s="1"/>
  <c r="Q156" i="2" s="1"/>
  <c r="AK156" i="2" l="1"/>
  <c r="B157" i="2" s="1"/>
  <c r="U156" i="2"/>
  <c r="AL156" i="2" l="1"/>
  <c r="C157" i="2" s="1"/>
  <c r="V156" i="2"/>
  <c r="BB156" i="2"/>
  <c r="AM156" i="2" l="1"/>
  <c r="D157" i="2" s="1"/>
  <c r="W156" i="2"/>
  <c r="AN156" i="2" l="1"/>
  <c r="E157" i="2" s="1"/>
  <c r="X156" i="2"/>
  <c r="Y156" i="2"/>
  <c r="AP156" i="2" s="1"/>
  <c r="G157" i="2" s="1"/>
  <c r="Z156" i="2"/>
  <c r="AQ156" i="2"/>
  <c r="H157" i="2" s="1"/>
  <c r="AO156" i="2" l="1"/>
  <c r="F157" i="2" s="1"/>
  <c r="AA156" i="2"/>
  <c r="AR156" i="2" l="1"/>
  <c r="I157" i="2" s="1"/>
  <c r="AB156" i="2"/>
  <c r="AS156" i="2" l="1"/>
  <c r="J157" i="2" s="1"/>
  <c r="AC156" i="2"/>
  <c r="AT156" i="2"/>
  <c r="K157" i="2" s="1"/>
  <c r="AD156" i="2"/>
  <c r="AU156" i="2" s="1"/>
  <c r="L157" i="2" s="1"/>
  <c r="AE156" i="2" l="1"/>
  <c r="AV156" i="2" s="1"/>
  <c r="M157" i="2" s="1"/>
  <c r="AF156" i="2" l="1"/>
  <c r="AW156" i="2" l="1"/>
  <c r="N157" i="2" s="1"/>
  <c r="AG156" i="2"/>
  <c r="AX156" i="2" s="1"/>
  <c r="O157" i="2" s="1"/>
  <c r="AH156" i="2"/>
  <c r="AY156" i="2" s="1"/>
  <c r="P157" i="2" s="1"/>
  <c r="AI156" i="2"/>
  <c r="AZ156" i="2" s="1"/>
  <c r="Q157" i="2" s="1"/>
  <c r="AJ156" i="2" l="1"/>
  <c r="BA156" i="2" s="1"/>
  <c r="R157" i="2" s="1"/>
  <c r="S157" i="2" s="1"/>
  <c r="T157" i="2" s="1"/>
  <c r="AK157" i="2" l="1"/>
  <c r="B158" i="2" s="1"/>
  <c r="U157" i="2"/>
  <c r="BB157" i="2" s="1"/>
  <c r="AL157" i="2" l="1"/>
  <c r="C158" i="2" s="1"/>
  <c r="V157" i="2"/>
  <c r="AM157" i="2" l="1"/>
  <c r="D158" i="2" s="1"/>
  <c r="W157" i="2"/>
  <c r="X157" i="2" l="1"/>
  <c r="AN157" i="2"/>
  <c r="E158" i="2" s="1"/>
  <c r="Y157" i="2" l="1"/>
  <c r="AO157" i="2"/>
  <c r="F158" i="2" s="1"/>
  <c r="Z157" i="2" l="1"/>
  <c r="AP157" i="2"/>
  <c r="G158" i="2" s="1"/>
  <c r="AA157" i="2" l="1"/>
  <c r="AQ157" i="2"/>
  <c r="H158" i="2" s="1"/>
  <c r="AB157" i="2" l="1"/>
  <c r="AR157" i="2"/>
  <c r="I158" i="2" s="1"/>
  <c r="AS157" i="2" l="1"/>
  <c r="J158" i="2" s="1"/>
  <c r="AC157" i="2"/>
  <c r="AT157" i="2" l="1"/>
  <c r="K158" i="2" s="1"/>
  <c r="AD157" i="2"/>
  <c r="AE157" i="2" l="1"/>
  <c r="AF157" i="2" s="1"/>
  <c r="AU157" i="2"/>
  <c r="L158" i="2" s="1"/>
  <c r="AV157" i="2" l="1"/>
  <c r="M158" i="2" s="1"/>
  <c r="AG157" i="2"/>
  <c r="AW157" i="2"/>
  <c r="N158" i="2" s="1"/>
  <c r="AX157" i="2" l="1"/>
  <c r="O158" i="2" s="1"/>
  <c r="AH157" i="2"/>
  <c r="AY157" i="2" l="1"/>
  <c r="P158" i="2" s="1"/>
  <c r="AI157" i="2"/>
  <c r="AJ157" i="2" s="1"/>
  <c r="BA157" i="2" s="1"/>
  <c r="R158" i="2" s="1"/>
  <c r="S158" i="2" s="1"/>
  <c r="T158" i="2" s="1"/>
  <c r="AZ157" i="2"/>
  <c r="Q158" i="2" s="1"/>
  <c r="BB158" i="2" l="1"/>
  <c r="U158" i="2"/>
  <c r="AK158" i="2"/>
  <c r="B159" i="2" s="1"/>
  <c r="AL158" i="2" l="1"/>
  <c r="C159" i="2" s="1"/>
  <c r="V158" i="2"/>
  <c r="W158" i="2" l="1"/>
  <c r="X158" i="2" s="1"/>
  <c r="AO158" i="2" s="1"/>
  <c r="F159" i="2" s="1"/>
  <c r="AM158" i="2"/>
  <c r="D159" i="2" s="1"/>
  <c r="Y158" i="2" l="1"/>
  <c r="AN158" i="2"/>
  <c r="E159" i="2" s="1"/>
  <c r="Z158" i="2" l="1"/>
  <c r="AA158" i="2" s="1"/>
  <c r="AR158" i="2" s="1"/>
  <c r="I159" i="2" s="1"/>
  <c r="AP158" i="2"/>
  <c r="G159" i="2" s="1"/>
  <c r="AC158" i="2" l="1"/>
  <c r="AQ158" i="2"/>
  <c r="H159" i="2" s="1"/>
  <c r="AB158" i="2"/>
  <c r="AS158" i="2" s="1"/>
  <c r="J159" i="2" s="1"/>
  <c r="AT158" i="2" l="1"/>
  <c r="K159" i="2" s="1"/>
  <c r="AD158" i="2"/>
  <c r="AE158" i="2" l="1"/>
  <c r="AF158" i="2" s="1"/>
  <c r="AW158" i="2" s="1"/>
  <c r="N159" i="2" s="1"/>
  <c r="AU158" i="2"/>
  <c r="L159" i="2" s="1"/>
  <c r="AV158" i="2" l="1"/>
  <c r="M159" i="2" s="1"/>
  <c r="AG158" i="2"/>
  <c r="AX158" i="2" l="1"/>
  <c r="O159" i="2" s="1"/>
  <c r="AH158" i="2"/>
  <c r="AI158" i="2"/>
  <c r="AZ158" i="2" s="1"/>
  <c r="Q159" i="2" s="1"/>
  <c r="AY158" i="2" l="1"/>
  <c r="P159" i="2" s="1"/>
  <c r="AJ158" i="2"/>
  <c r="BA158" i="2" s="1"/>
  <c r="R159" i="2" s="1"/>
  <c r="S159" i="2" s="1"/>
  <c r="T159" i="2" s="1"/>
  <c r="AK159" i="2" l="1"/>
  <c r="B160" i="2" s="1"/>
  <c r="U159" i="2"/>
  <c r="AL159" i="2"/>
  <c r="C160" i="2" s="1"/>
  <c r="BB159" i="2"/>
  <c r="V159" i="2" l="1"/>
  <c r="AM159" i="2" s="1"/>
  <c r="D160" i="2" s="1"/>
  <c r="W159" i="2"/>
  <c r="AN159" i="2" l="1"/>
  <c r="E160" i="2" s="1"/>
  <c r="X159" i="2"/>
  <c r="AO159" i="2" l="1"/>
  <c r="F160" i="2" s="1"/>
  <c r="Y159" i="2"/>
  <c r="Z159" i="2" l="1"/>
  <c r="AP159" i="2"/>
  <c r="G160" i="2" s="1"/>
  <c r="AA159" i="2" l="1"/>
  <c r="AR159" i="2" s="1"/>
  <c r="I160" i="2" s="1"/>
  <c r="AB159" i="2"/>
  <c r="AS159" i="2" s="1"/>
  <c r="J160" i="2" s="1"/>
  <c r="AC159" i="2"/>
  <c r="AT159" i="2" s="1"/>
  <c r="K160" i="2" s="1"/>
  <c r="AQ159" i="2"/>
  <c r="H160" i="2" s="1"/>
  <c r="AD159" i="2"/>
  <c r="AU159" i="2" s="1"/>
  <c r="L160" i="2" s="1"/>
  <c r="AE159" i="2"/>
  <c r="AV159" i="2" s="1"/>
  <c r="M160" i="2" s="1"/>
  <c r="AF159" i="2" l="1"/>
  <c r="AW159" i="2" s="1"/>
  <c r="N160" i="2" s="1"/>
  <c r="AG159" i="2"/>
  <c r="AX159" i="2" s="1"/>
  <c r="O160" i="2" s="1"/>
  <c r="AH159" i="2" l="1"/>
  <c r="AY159" i="2" l="1"/>
  <c r="P160" i="2" s="1"/>
  <c r="AI159" i="2"/>
  <c r="AZ159" i="2" s="1"/>
  <c r="Q160" i="2" s="1"/>
  <c r="AJ159" i="2" l="1"/>
  <c r="BA159" i="2" s="1"/>
  <c r="R160" i="2" s="1"/>
  <c r="S160" i="2" s="1"/>
  <c r="T160" i="2" s="1"/>
  <c r="U160" i="2" l="1"/>
  <c r="AK160" i="2"/>
  <c r="B161" i="2" s="1"/>
  <c r="AL160" i="2" l="1"/>
  <c r="C161" i="2" s="1"/>
  <c r="BB160" i="2"/>
  <c r="V160" i="2"/>
  <c r="AM160" i="2" l="1"/>
  <c r="D161" i="2" s="1"/>
  <c r="W160" i="2"/>
  <c r="X160" i="2"/>
  <c r="AO160" i="2" s="1"/>
  <c r="F161" i="2" s="1"/>
  <c r="AN160" i="2" l="1"/>
  <c r="E161" i="2" s="1"/>
  <c r="Y160" i="2"/>
  <c r="Z160" i="2" l="1"/>
  <c r="AQ160" i="2" s="1"/>
  <c r="H161" i="2" s="1"/>
  <c r="AP160" i="2"/>
  <c r="G161" i="2" s="1"/>
  <c r="AA160" i="2" l="1"/>
  <c r="AR160" i="2" l="1"/>
  <c r="I161" i="2" s="1"/>
  <c r="AB160" i="2"/>
  <c r="AS160" i="2" l="1"/>
  <c r="J161" i="2" s="1"/>
  <c r="AC160" i="2"/>
  <c r="AT160" i="2" l="1"/>
  <c r="K161" i="2" s="1"/>
  <c r="AD160" i="2"/>
  <c r="AU160" i="2" s="1"/>
  <c r="L161" i="2" s="1"/>
  <c r="AE160" i="2" l="1"/>
  <c r="AV160" i="2" s="1"/>
  <c r="M161" i="2" s="1"/>
  <c r="AF160" i="2" l="1"/>
  <c r="AW160" i="2" l="1"/>
  <c r="N161" i="2" s="1"/>
  <c r="AG160" i="2"/>
  <c r="AX160" i="2" l="1"/>
  <c r="O161" i="2" s="1"/>
  <c r="AH160" i="2"/>
  <c r="AY160" i="2"/>
  <c r="P161" i="2" s="1"/>
  <c r="AI160" i="2"/>
  <c r="AZ160" i="2" s="1"/>
  <c r="Q161" i="2" s="1"/>
  <c r="AJ160" i="2"/>
  <c r="BA160" i="2" s="1"/>
  <c r="R161" i="2" s="1"/>
  <c r="S161" i="2" s="1"/>
  <c r="T161" i="2" s="1"/>
  <c r="AK161" i="2" l="1"/>
  <c r="B162" i="2" s="1"/>
  <c r="U161" i="2"/>
  <c r="AL161" i="2" s="1"/>
  <c r="C162" i="2" s="1"/>
  <c r="V161" i="2"/>
  <c r="AM161" i="2" s="1"/>
  <c r="D162" i="2" s="1"/>
  <c r="BB161" i="2"/>
  <c r="W161" i="2"/>
  <c r="X161" i="2"/>
  <c r="AO161" i="2" s="1"/>
  <c r="F162" i="2" s="1"/>
  <c r="Y161" i="2" l="1"/>
  <c r="Z161" i="2"/>
  <c r="AQ161" i="2" s="1"/>
  <c r="H162" i="2" s="1"/>
  <c r="AN161" i="2"/>
  <c r="E162" i="2" s="1"/>
  <c r="AP161" i="2" l="1"/>
  <c r="G162" i="2" s="1"/>
  <c r="AA161" i="2"/>
  <c r="AR161" i="2" l="1"/>
  <c r="I162" i="2" s="1"/>
  <c r="AB161" i="2"/>
  <c r="AS161" i="2" s="1"/>
  <c r="J162" i="2" s="1"/>
  <c r="AC161" i="2" l="1"/>
  <c r="AT161" i="2" l="1"/>
  <c r="K162" i="2" s="1"/>
  <c r="AD161" i="2"/>
  <c r="AE161" i="2" s="1"/>
  <c r="AV161" i="2" s="1"/>
  <c r="M162" i="2" s="1"/>
  <c r="AU161" i="2" l="1"/>
  <c r="L162" i="2" s="1"/>
  <c r="AF161" i="2"/>
  <c r="AG161" i="2"/>
  <c r="AX161" i="2" s="1"/>
  <c r="O162" i="2" s="1"/>
  <c r="AW161" i="2" l="1"/>
  <c r="N162" i="2" s="1"/>
  <c r="AH161" i="2"/>
  <c r="AY161" i="2" s="1"/>
  <c r="P162" i="2" s="1"/>
  <c r="AI161" i="2" l="1"/>
  <c r="AZ161" i="2" s="1"/>
  <c r="Q162" i="2" s="1"/>
  <c r="AJ161" i="2"/>
  <c r="BA161" i="2" s="1"/>
  <c r="R162" i="2" s="1"/>
  <c r="S162" i="2" s="1"/>
  <c r="T162" i="2" s="1"/>
  <c r="BB162" i="2" l="1"/>
  <c r="U162" i="2"/>
  <c r="AL162" i="2" s="1"/>
  <c r="C163" i="2" s="1"/>
  <c r="AK162" i="2"/>
  <c r="B163" i="2" s="1"/>
  <c r="V162" i="2" l="1"/>
  <c r="AM162" i="2" l="1"/>
  <c r="D163" i="2" s="1"/>
  <c r="W162" i="2"/>
  <c r="AN162" i="2" l="1"/>
  <c r="E163" i="2" s="1"/>
  <c r="X162" i="2"/>
  <c r="Y162" i="2" l="1"/>
  <c r="AO162" i="2"/>
  <c r="F163" i="2" s="1"/>
  <c r="Z162" i="2"/>
  <c r="AQ162" i="2" s="1"/>
  <c r="H163" i="2" s="1"/>
  <c r="AA162" i="2" l="1"/>
  <c r="AP162" i="2"/>
  <c r="G163" i="2" s="1"/>
  <c r="AB162" i="2" l="1"/>
  <c r="AR162" i="2"/>
  <c r="I163" i="2" s="1"/>
  <c r="AS162" i="2" l="1"/>
  <c r="J163" i="2" s="1"/>
  <c r="AC162" i="2"/>
  <c r="AD162" i="2" l="1"/>
  <c r="AT162" i="2"/>
  <c r="K163" i="2" s="1"/>
  <c r="AE162" i="2" l="1"/>
  <c r="AF162" i="2" s="1"/>
  <c r="AU162" i="2"/>
  <c r="L163" i="2" s="1"/>
  <c r="AV162" i="2" l="1"/>
  <c r="M163" i="2" s="1"/>
  <c r="AG162" i="2"/>
  <c r="AW162" i="2"/>
  <c r="N163" i="2" s="1"/>
  <c r="AX162" i="2" l="1"/>
  <c r="O163" i="2" s="1"/>
  <c r="AH162" i="2"/>
  <c r="AI162" i="2" s="1"/>
  <c r="AY162" i="2"/>
  <c r="P163" i="2" s="1"/>
  <c r="AJ162" i="2" l="1"/>
  <c r="BA162" i="2" s="1"/>
  <c r="R163" i="2" s="1"/>
  <c r="S163" i="2" s="1"/>
  <c r="T163" i="2" s="1"/>
  <c r="AZ162" i="2"/>
  <c r="Q163" i="2" s="1"/>
  <c r="U163" i="2" l="1"/>
  <c r="AK163" i="2"/>
  <c r="B164" i="2" s="1"/>
  <c r="BB163" i="2"/>
  <c r="V163" i="2"/>
  <c r="AM163" i="2" s="1"/>
  <c r="D164" i="2" s="1"/>
  <c r="AL163" i="2"/>
  <c r="C164" i="2" s="1"/>
  <c r="W163" i="2" l="1"/>
  <c r="AN163" i="2" l="1"/>
  <c r="E164" i="2" s="1"/>
  <c r="X163" i="2"/>
  <c r="AO163" i="2" s="1"/>
  <c r="F164" i="2" s="1"/>
  <c r="Y163" i="2"/>
  <c r="AP163" i="2" s="1"/>
  <c r="G164" i="2" s="1"/>
  <c r="Z163" i="2"/>
  <c r="AQ163" i="2"/>
  <c r="H164" i="2" s="1"/>
  <c r="AA163" i="2"/>
  <c r="AR163" i="2" l="1"/>
  <c r="I164" i="2" s="1"/>
  <c r="AB163" i="2"/>
  <c r="AS163" i="2" s="1"/>
  <c r="J164" i="2" s="1"/>
  <c r="AC163" i="2" l="1"/>
  <c r="AT163" i="2" l="1"/>
  <c r="K164" i="2" s="1"/>
  <c r="AD163" i="2"/>
  <c r="AU163" i="2" l="1"/>
  <c r="L164" i="2" s="1"/>
  <c r="AE163" i="2"/>
  <c r="AV163" i="2" s="1"/>
  <c r="M164" i="2" s="1"/>
  <c r="AF163" i="2" l="1"/>
  <c r="AW163" i="2" l="1"/>
  <c r="N164" i="2" s="1"/>
  <c r="AG163" i="2"/>
  <c r="AH163" i="2"/>
  <c r="AY163" i="2" s="1"/>
  <c r="P164" i="2" s="1"/>
  <c r="AX163" i="2" l="1"/>
  <c r="O164" i="2" s="1"/>
  <c r="AI163" i="2"/>
  <c r="AZ163" i="2" l="1"/>
  <c r="Q164" i="2" s="1"/>
  <c r="AJ163" i="2"/>
  <c r="BA163" i="2" s="1"/>
  <c r="R164" i="2" s="1"/>
  <c r="S164" i="2" l="1"/>
  <c r="T164" i="2" s="1"/>
  <c r="BB164" i="2" l="1"/>
  <c r="AK164" i="2"/>
  <c r="B165" i="2" s="1"/>
  <c r="U164" i="2"/>
  <c r="V164" i="2"/>
  <c r="AM164" i="2"/>
  <c r="D165" i="2" s="1"/>
  <c r="AL164" i="2" l="1"/>
  <c r="C165" i="2" s="1"/>
  <c r="W164" i="2"/>
  <c r="X164" i="2"/>
  <c r="AO164" i="2" s="1"/>
  <c r="F165" i="2" s="1"/>
  <c r="AN164" i="2" l="1"/>
  <c r="E165" i="2" s="1"/>
  <c r="Y164" i="2"/>
  <c r="Z164" i="2" s="1"/>
  <c r="AA164" i="2" s="1"/>
  <c r="AR164" i="2" s="1"/>
  <c r="I165" i="2" s="1"/>
  <c r="AP164" i="2"/>
  <c r="G165" i="2" s="1"/>
  <c r="AB164" i="2" l="1"/>
  <c r="AS164" i="2" s="1"/>
  <c r="J165" i="2" s="1"/>
  <c r="AQ164" i="2"/>
  <c r="H165" i="2" s="1"/>
  <c r="AC164" i="2" l="1"/>
  <c r="AD164" i="2"/>
  <c r="AU164" i="2" s="1"/>
  <c r="L165" i="2" s="1"/>
  <c r="AT164" i="2" l="1"/>
  <c r="K165" i="2" s="1"/>
  <c r="AE164" i="2"/>
  <c r="AV164" i="2" s="1"/>
  <c r="M165" i="2" s="1"/>
  <c r="AF164" i="2"/>
  <c r="AW164" i="2" s="1"/>
  <c r="N165" i="2" s="1"/>
  <c r="AG164" i="2" l="1"/>
  <c r="AX164" i="2" l="1"/>
  <c r="O165" i="2" s="1"/>
  <c r="AH164" i="2"/>
  <c r="AI164" i="2" l="1"/>
  <c r="AY164" i="2"/>
  <c r="P165" i="2" s="1"/>
  <c r="AJ164" i="2" l="1"/>
  <c r="BA164" i="2" s="1"/>
  <c r="R165" i="2" s="1"/>
  <c r="S165" i="2" s="1"/>
  <c r="T165" i="2" s="1"/>
  <c r="AZ164" i="2"/>
  <c r="Q165" i="2" s="1"/>
  <c r="U165" i="2" l="1"/>
  <c r="BB165" i="2"/>
  <c r="V165" i="2"/>
  <c r="AM165" i="2" s="1"/>
  <c r="D166" i="2" s="1"/>
  <c r="AK165" i="2"/>
  <c r="B166" i="2" s="1"/>
  <c r="W165" i="2" l="1"/>
  <c r="AL165" i="2"/>
  <c r="C166" i="2" s="1"/>
  <c r="X165" i="2" l="1"/>
  <c r="AN165" i="2"/>
  <c r="E166" i="2" s="1"/>
  <c r="AO165" i="2" l="1"/>
  <c r="F166" i="2" s="1"/>
  <c r="Y165" i="2"/>
  <c r="Z165" i="2"/>
  <c r="AQ165" i="2"/>
  <c r="H166" i="2" s="1"/>
  <c r="AP165" i="2" l="1"/>
  <c r="G166" i="2" s="1"/>
  <c r="AA165" i="2"/>
  <c r="AS165" i="2"/>
  <c r="J166" i="2" s="1"/>
  <c r="AR165" i="2"/>
  <c r="I166" i="2" s="1"/>
  <c r="AB165" i="2" l="1"/>
  <c r="AC165" i="2"/>
  <c r="AT165" i="2" l="1"/>
  <c r="K166" i="2" s="1"/>
  <c r="AD165" i="2"/>
  <c r="AU165" i="2" l="1"/>
  <c r="L166" i="2" s="1"/>
  <c r="AE165" i="2"/>
  <c r="AF165" i="2" l="1"/>
  <c r="AG165" i="2" s="1"/>
  <c r="AV165" i="2"/>
  <c r="M166" i="2" s="1"/>
  <c r="AJ165" i="2" l="1"/>
  <c r="BA165" i="2" s="1"/>
  <c r="R166" i="2" s="1"/>
  <c r="AW165" i="2"/>
  <c r="N166" i="2" s="1"/>
  <c r="AH165" i="2"/>
  <c r="AY165" i="2" s="1"/>
  <c r="P166" i="2" s="1"/>
  <c r="AI165" i="2"/>
  <c r="AZ165" i="2" s="1"/>
  <c r="Q166" i="2" s="1"/>
  <c r="AX165" i="2"/>
  <c r="O166" i="2" s="1"/>
  <c r="S166" i="2" l="1"/>
  <c r="T166" i="2" s="1"/>
  <c r="U166" i="2" l="1"/>
  <c r="AK166" i="2"/>
  <c r="B167" i="2" s="1"/>
  <c r="V166" i="2"/>
  <c r="AM166" i="2" s="1"/>
  <c r="D167" i="2" s="1"/>
  <c r="BB166" i="2"/>
  <c r="W166" i="2" l="1"/>
  <c r="AL166" i="2"/>
  <c r="C167" i="2" s="1"/>
  <c r="X166" i="2" l="1"/>
  <c r="AN166" i="2"/>
  <c r="E167" i="2" s="1"/>
  <c r="Y166" i="2" l="1"/>
  <c r="AO166" i="2"/>
  <c r="F167" i="2" s="1"/>
  <c r="Z166" i="2"/>
  <c r="AQ166" i="2" s="1"/>
  <c r="H167" i="2" s="1"/>
  <c r="AP166" i="2" l="1"/>
  <c r="G167" i="2" s="1"/>
  <c r="AA166" i="2"/>
  <c r="AR166" i="2" l="1"/>
  <c r="I167" i="2" s="1"/>
  <c r="AB166" i="2"/>
  <c r="AS166" i="2" l="1"/>
  <c r="J167" i="2" s="1"/>
  <c r="AC166" i="2"/>
  <c r="AD166" i="2"/>
  <c r="AU166" i="2" s="1"/>
  <c r="L167" i="2" s="1"/>
  <c r="AE166" i="2"/>
  <c r="AV166" i="2" s="1"/>
  <c r="M167" i="2" s="1"/>
  <c r="AT166" i="2" l="1"/>
  <c r="K167" i="2" s="1"/>
  <c r="AF166" i="2"/>
  <c r="AW166" i="2" s="1"/>
  <c r="N167" i="2" s="1"/>
  <c r="AG166" i="2"/>
  <c r="AX166" i="2"/>
  <c r="O167" i="2" s="1"/>
  <c r="AH166" i="2"/>
  <c r="AY166" i="2" l="1"/>
  <c r="P167" i="2" s="1"/>
  <c r="AI166" i="2"/>
  <c r="AZ166" i="2" l="1"/>
  <c r="Q167" i="2" s="1"/>
  <c r="AJ166" i="2"/>
  <c r="BA166" i="2" s="1"/>
  <c r="R167" i="2" s="1"/>
  <c r="S167" i="2" s="1"/>
  <c r="T167" i="2" s="1"/>
  <c r="V167" i="2" l="1"/>
  <c r="U167" i="2"/>
  <c r="AL167" i="2" s="1"/>
  <c r="C168" i="2" s="1"/>
  <c r="BB167" i="2"/>
  <c r="AK167" i="2"/>
  <c r="B168" i="2" s="1"/>
  <c r="AM167" i="2" l="1"/>
  <c r="D168" i="2" s="1"/>
  <c r="W167" i="2"/>
  <c r="AN167" i="2" l="1"/>
  <c r="E168" i="2" s="1"/>
  <c r="X167" i="2"/>
  <c r="Y167" i="2" s="1"/>
  <c r="AO167" i="2"/>
  <c r="F168" i="2" s="1"/>
  <c r="Z167" i="2" l="1"/>
  <c r="AA167" i="2" s="1"/>
  <c r="AP167" i="2"/>
  <c r="G168" i="2" s="1"/>
  <c r="AQ167" i="2"/>
  <c r="H168" i="2" s="1"/>
  <c r="AR167" i="2" l="1"/>
  <c r="I168" i="2" s="1"/>
  <c r="AB167" i="2"/>
  <c r="AS167" i="2" l="1"/>
  <c r="J168" i="2" s="1"/>
  <c r="AC167" i="2"/>
  <c r="AD167" i="2" l="1"/>
  <c r="AT167" i="2"/>
  <c r="K168" i="2" s="1"/>
  <c r="AU167" i="2" l="1"/>
  <c r="L168" i="2" s="1"/>
  <c r="AE167" i="2"/>
  <c r="AV167" i="2"/>
  <c r="M168" i="2" s="1"/>
  <c r="AF167" i="2"/>
  <c r="AG167" i="2" s="1"/>
  <c r="AX167" i="2" s="1"/>
  <c r="O168" i="2" s="1"/>
  <c r="AW167" i="2" l="1"/>
  <c r="N168" i="2" s="1"/>
  <c r="AH167" i="2"/>
  <c r="AY167" i="2" l="1"/>
  <c r="P168" i="2" s="1"/>
  <c r="AI167" i="2"/>
  <c r="AZ167" i="2" l="1"/>
  <c r="Q168" i="2" s="1"/>
  <c r="AJ167" i="2"/>
  <c r="BA167" i="2" s="1"/>
  <c r="R168" i="2" s="1"/>
  <c r="S168" i="2" s="1"/>
  <c r="T168" i="2" s="1"/>
  <c r="AK168" i="2" l="1"/>
  <c r="B169" i="2" s="1"/>
  <c r="U168" i="2"/>
  <c r="BB168" i="2"/>
  <c r="AL168" i="2" l="1"/>
  <c r="C169" i="2" s="1"/>
  <c r="V168" i="2"/>
  <c r="W168" i="2" l="1"/>
  <c r="AM168" i="2"/>
  <c r="D169" i="2" s="1"/>
  <c r="X168" i="2" l="1"/>
  <c r="AN168" i="2"/>
  <c r="E169" i="2" s="1"/>
  <c r="Y168" i="2" l="1"/>
  <c r="AO168" i="2"/>
  <c r="F169" i="2" s="1"/>
  <c r="Z168" i="2" l="1"/>
  <c r="AP168" i="2"/>
  <c r="G169" i="2" s="1"/>
  <c r="AA168" i="2" l="1"/>
  <c r="AB168" i="2" s="1"/>
  <c r="AS168" i="2" s="1"/>
  <c r="J169" i="2" s="1"/>
  <c r="AQ168" i="2"/>
  <c r="H169" i="2" s="1"/>
  <c r="AC168" i="2" l="1"/>
  <c r="AR168" i="2"/>
  <c r="I169" i="2" s="1"/>
  <c r="AD168" i="2" l="1"/>
  <c r="AT168" i="2"/>
  <c r="K169" i="2" s="1"/>
  <c r="AE168" i="2" l="1"/>
  <c r="AU168" i="2"/>
  <c r="L169" i="2" s="1"/>
  <c r="AF168" i="2" l="1"/>
  <c r="AV168" i="2"/>
  <c r="M169" i="2" s="1"/>
  <c r="AG168" i="2" l="1"/>
  <c r="AW168" i="2"/>
  <c r="N169" i="2" s="1"/>
  <c r="AH168" i="2" l="1"/>
  <c r="AX168" i="2"/>
  <c r="O169" i="2" s="1"/>
  <c r="AI168" i="2" l="1"/>
  <c r="AY168" i="2"/>
  <c r="P169" i="2" s="1"/>
  <c r="AZ168" i="2" l="1"/>
  <c r="Q169" i="2" s="1"/>
  <c r="AJ168" i="2"/>
  <c r="BA168" i="2" s="1"/>
  <c r="R169" i="2" s="1"/>
  <c r="S169" i="2" s="1"/>
  <c r="T169" i="2" s="1"/>
  <c r="AK169" i="2" l="1"/>
  <c r="B170" i="2" s="1"/>
  <c r="U169" i="2"/>
  <c r="V169" i="2" s="1"/>
  <c r="AL169" i="2"/>
  <c r="C170" i="2" s="1"/>
  <c r="BB169" i="2"/>
  <c r="AM169" i="2" l="1"/>
  <c r="D170" i="2" s="1"/>
  <c r="W169" i="2"/>
  <c r="X169" i="2" l="1"/>
  <c r="Y169" i="2" s="1"/>
  <c r="AN169" i="2"/>
  <c r="E170" i="2" s="1"/>
  <c r="AB169" i="2" l="1"/>
  <c r="AO169" i="2"/>
  <c r="F170" i="2" s="1"/>
  <c r="AP169" i="2"/>
  <c r="G170" i="2" s="1"/>
  <c r="Z169" i="2"/>
  <c r="AA169" i="2"/>
  <c r="AR169" i="2" s="1"/>
  <c r="I170" i="2" s="1"/>
  <c r="AC169" i="2" l="1"/>
  <c r="AQ169" i="2"/>
  <c r="H170" i="2" s="1"/>
  <c r="AS169" i="2"/>
  <c r="J170" i="2" s="1"/>
  <c r="AD169" i="2"/>
  <c r="AU169" i="2" s="1"/>
  <c r="L170" i="2" s="1"/>
  <c r="AT169" i="2" l="1"/>
  <c r="K170" i="2" s="1"/>
  <c r="AE169" i="2"/>
  <c r="AV169" i="2" l="1"/>
  <c r="M170" i="2" s="1"/>
  <c r="AF169" i="2"/>
  <c r="AW169" i="2" s="1"/>
  <c r="N170" i="2" s="1"/>
  <c r="AG169" i="2"/>
  <c r="AX169" i="2" s="1"/>
  <c r="O170" i="2" s="1"/>
  <c r="AH169" i="2"/>
  <c r="AY169" i="2" l="1"/>
  <c r="P170" i="2" s="1"/>
  <c r="AI169" i="2"/>
  <c r="AZ169" i="2" s="1"/>
  <c r="Q170" i="2" s="1"/>
  <c r="AJ169" i="2" l="1"/>
  <c r="BA169" i="2" s="1"/>
  <c r="R170" i="2" s="1"/>
  <c r="S170" i="2" s="1"/>
  <c r="T170" i="2" s="1"/>
  <c r="AK170" i="2" l="1"/>
  <c r="B171" i="2" s="1"/>
  <c r="U170" i="2"/>
  <c r="AL170" i="2" l="1"/>
  <c r="C171" i="2" s="1"/>
  <c r="BB170" i="2"/>
  <c r="V170" i="2"/>
  <c r="W170" i="2" s="1"/>
  <c r="AN170" i="2" s="1"/>
  <c r="E171" i="2" s="1"/>
  <c r="AM170" i="2" l="1"/>
  <c r="D171" i="2" s="1"/>
  <c r="X170" i="2"/>
  <c r="AO170" i="2" l="1"/>
  <c r="F171" i="2" s="1"/>
  <c r="Y170" i="2"/>
  <c r="AP170" i="2" l="1"/>
  <c r="G171" i="2" s="1"/>
  <c r="Z170" i="2"/>
  <c r="AQ170" i="2" l="1"/>
  <c r="H171" i="2" s="1"/>
  <c r="AA170" i="2"/>
  <c r="AR170" i="2" l="1"/>
  <c r="I171" i="2" s="1"/>
  <c r="AB170" i="2"/>
  <c r="AS170" i="2" s="1"/>
  <c r="J171" i="2" s="1"/>
  <c r="AC170" i="2"/>
  <c r="AT170" i="2" s="1"/>
  <c r="K171" i="2" s="1"/>
  <c r="AD170" i="2"/>
  <c r="AE170" i="2" s="1"/>
  <c r="AV170" i="2" s="1"/>
  <c r="M171" i="2" s="1"/>
  <c r="AU170" i="2" l="1"/>
  <c r="L171" i="2" s="1"/>
  <c r="AF170" i="2"/>
  <c r="AG170" i="2" s="1"/>
  <c r="AX170" i="2" s="1"/>
  <c r="O171" i="2" s="1"/>
  <c r="AW170" i="2" l="1"/>
  <c r="N171" i="2" s="1"/>
  <c r="AH170" i="2"/>
  <c r="AY170" i="2" s="1"/>
  <c r="P171" i="2" s="1"/>
  <c r="AI170" i="2" l="1"/>
  <c r="AZ170" i="2" l="1"/>
  <c r="Q171" i="2" s="1"/>
  <c r="AJ170" i="2"/>
  <c r="BA170" i="2" s="1"/>
  <c r="R171" i="2" s="1"/>
  <c r="S171" i="2" s="1"/>
  <c r="T171" i="2" s="1"/>
  <c r="U171" i="2" l="1"/>
  <c r="AK171" i="2"/>
  <c r="B172" i="2" s="1"/>
  <c r="BB171" i="2"/>
  <c r="AL171" i="2" l="1"/>
  <c r="C172" i="2" s="1"/>
  <c r="V171" i="2"/>
  <c r="AM171" i="2"/>
  <c r="D172" i="2" s="1"/>
  <c r="W171" i="2"/>
  <c r="AN171" i="2" l="1"/>
  <c r="E172" i="2" s="1"/>
  <c r="X171" i="2"/>
  <c r="AO171" i="2" l="1"/>
  <c r="F172" i="2" s="1"/>
  <c r="Y171" i="2"/>
  <c r="AP171" i="2" s="1"/>
  <c r="G172" i="2" s="1"/>
  <c r="Z171" i="2" l="1"/>
  <c r="AA171" i="2" l="1"/>
  <c r="AQ171" i="2"/>
  <c r="H172" i="2" s="1"/>
  <c r="AR171" i="2" l="1"/>
  <c r="I172" i="2" s="1"/>
  <c r="AB171" i="2"/>
  <c r="AS171" i="2" l="1"/>
  <c r="J172" i="2" s="1"/>
  <c r="AC171" i="2"/>
  <c r="AT171" i="2" s="1"/>
  <c r="K172" i="2" s="1"/>
  <c r="AD171" i="2" l="1"/>
  <c r="AU171" i="2" l="1"/>
  <c r="L172" i="2" s="1"/>
  <c r="AE171" i="2"/>
  <c r="AF171" i="2"/>
  <c r="AW171" i="2" s="1"/>
  <c r="N172" i="2" s="1"/>
  <c r="AV171" i="2" l="1"/>
  <c r="M172" i="2" s="1"/>
  <c r="AG171" i="2"/>
  <c r="AX171" i="2" s="1"/>
  <c r="O172" i="2" s="1"/>
  <c r="AH171" i="2" l="1"/>
  <c r="AI171" i="2"/>
  <c r="AZ171" i="2" s="1"/>
  <c r="Q172" i="2" s="1"/>
  <c r="AY171" i="2" l="1"/>
  <c r="P172" i="2" s="1"/>
  <c r="AJ171" i="2"/>
  <c r="BA171" i="2" s="1"/>
  <c r="R172" i="2" s="1"/>
  <c r="S172" i="2" s="1"/>
  <c r="T172" i="2" s="1"/>
  <c r="AK172" i="2" l="1"/>
  <c r="B173" i="2" s="1"/>
  <c r="U172" i="2"/>
  <c r="AL172" i="2" s="1"/>
  <c r="C173" i="2" s="1"/>
  <c r="V172" i="2"/>
  <c r="AM172" i="2" s="1"/>
  <c r="D173" i="2" s="1"/>
  <c r="BB172" i="2"/>
  <c r="W172" i="2" l="1"/>
  <c r="AN172" i="2" l="1"/>
  <c r="E173" i="2" s="1"/>
  <c r="X172" i="2"/>
  <c r="AO172" i="2" s="1"/>
  <c r="F173" i="2" s="1"/>
  <c r="Y172" i="2" l="1"/>
  <c r="AP172" i="2" s="1"/>
  <c r="G173" i="2" s="1"/>
  <c r="Z172" i="2" l="1"/>
  <c r="AQ172" i="2" l="1"/>
  <c r="H173" i="2" s="1"/>
  <c r="AA172" i="2"/>
  <c r="AB172" i="2"/>
  <c r="AS172" i="2" s="1"/>
  <c r="J173" i="2" s="1"/>
  <c r="AR172" i="2" l="1"/>
  <c r="I173" i="2" s="1"/>
  <c r="AC172" i="2"/>
  <c r="AT172" i="2" s="1"/>
  <c r="K173" i="2" s="1"/>
  <c r="AD172" i="2" l="1"/>
  <c r="AU172" i="2" l="1"/>
  <c r="L173" i="2" s="1"/>
  <c r="AE172" i="2"/>
  <c r="AV172" i="2" l="1"/>
  <c r="M173" i="2" s="1"/>
  <c r="AF172" i="2"/>
  <c r="AW172" i="2" l="1"/>
  <c r="N173" i="2" s="1"/>
  <c r="AG172" i="2"/>
  <c r="AH172" i="2"/>
  <c r="AY172" i="2" s="1"/>
  <c r="P173" i="2" s="1"/>
  <c r="AX172" i="2" l="1"/>
  <c r="O173" i="2" s="1"/>
  <c r="AI172" i="2"/>
  <c r="AZ172" i="2"/>
  <c r="Q173" i="2" s="1"/>
  <c r="AJ172" i="2"/>
  <c r="BA172" i="2" s="1"/>
  <c r="R173" i="2" s="1"/>
  <c r="S173" i="2" s="1"/>
  <c r="T173" i="2" s="1"/>
  <c r="AK173" i="2" l="1"/>
  <c r="B174" i="2" s="1"/>
  <c r="U173" i="2"/>
  <c r="AL173" i="2" s="1"/>
  <c r="C174" i="2" s="1"/>
  <c r="V173" i="2" l="1"/>
  <c r="BB173" i="2"/>
  <c r="AM173" i="2" l="1"/>
  <c r="D174" i="2" s="1"/>
  <c r="W173" i="2"/>
  <c r="AN173" i="2" s="1"/>
  <c r="E174" i="2" s="1"/>
  <c r="X173" i="2" l="1"/>
  <c r="AO173" i="2" l="1"/>
  <c r="F174" i="2" s="1"/>
  <c r="Y173" i="2"/>
  <c r="AP173" i="2" l="1"/>
  <c r="G174" i="2" s="1"/>
  <c r="Z173" i="2"/>
  <c r="AQ173" i="2" l="1"/>
  <c r="H174" i="2" s="1"/>
  <c r="AA173" i="2"/>
  <c r="AR173" i="2" l="1"/>
  <c r="I174" i="2" s="1"/>
  <c r="AB173" i="2"/>
  <c r="AS173" i="2" l="1"/>
  <c r="J174" i="2" s="1"/>
  <c r="AC173" i="2"/>
  <c r="AT173" i="2" l="1"/>
  <c r="K174" i="2" s="1"/>
  <c r="AD173" i="2"/>
  <c r="AU173" i="2" l="1"/>
  <c r="L174" i="2" s="1"/>
  <c r="AE173" i="2"/>
  <c r="AF173" i="2"/>
  <c r="AW173" i="2" s="1"/>
  <c r="N174" i="2" s="1"/>
  <c r="AG173" i="2" l="1"/>
  <c r="AH173" i="2" s="1"/>
  <c r="AV173" i="2"/>
  <c r="M174" i="2" s="1"/>
  <c r="AY173" i="2" l="1"/>
  <c r="P174" i="2" s="1"/>
  <c r="AX173" i="2"/>
  <c r="O174" i="2" s="1"/>
  <c r="AI173" i="2"/>
  <c r="AZ173" i="2" s="1"/>
  <c r="Q174" i="2" s="1"/>
  <c r="AJ173" i="2" l="1"/>
  <c r="BA173" i="2" s="1"/>
  <c r="R174" i="2" s="1"/>
  <c r="S174" i="2" s="1"/>
  <c r="T174" i="2" s="1"/>
  <c r="BB174" i="2" l="1"/>
  <c r="AK174" i="2"/>
  <c r="B175" i="2" s="1"/>
  <c r="U174" i="2"/>
  <c r="AL174" i="2" s="1"/>
  <c r="C175" i="2" s="1"/>
  <c r="V174" i="2" l="1"/>
  <c r="AM174" i="2" l="1"/>
  <c r="D175" i="2" s="1"/>
  <c r="W174" i="2"/>
  <c r="AN174" i="2" l="1"/>
  <c r="E175" i="2" s="1"/>
  <c r="X174" i="2"/>
  <c r="Y174" i="2" l="1"/>
  <c r="AO174" i="2"/>
  <c r="F175" i="2" s="1"/>
  <c r="Z174" i="2" l="1"/>
  <c r="AQ174" i="2" s="1"/>
  <c r="H175" i="2" s="1"/>
  <c r="AP174" i="2"/>
  <c r="G175" i="2" s="1"/>
  <c r="AA174" i="2"/>
  <c r="AR174" i="2" s="1"/>
  <c r="I175" i="2" s="1"/>
  <c r="AB174" i="2"/>
  <c r="AS174" i="2" l="1"/>
  <c r="J175" i="2" s="1"/>
  <c r="AC174" i="2"/>
  <c r="AT174" i="2" s="1"/>
  <c r="K175" i="2" s="1"/>
  <c r="AD174" i="2"/>
  <c r="AU174" i="2" s="1"/>
  <c r="L175" i="2" s="1"/>
  <c r="AE174" i="2" l="1"/>
  <c r="AV174" i="2" l="1"/>
  <c r="M175" i="2" s="1"/>
  <c r="AF174" i="2"/>
  <c r="AW174" i="2" l="1"/>
  <c r="N175" i="2" s="1"/>
  <c r="AG174" i="2"/>
  <c r="AX174" i="2" s="1"/>
  <c r="O175" i="2" s="1"/>
  <c r="AH174" i="2" l="1"/>
  <c r="AY174" i="2" l="1"/>
  <c r="P175" i="2" s="1"/>
  <c r="AI174" i="2"/>
  <c r="AZ174" i="2" l="1"/>
  <c r="Q175" i="2" s="1"/>
  <c r="AJ174" i="2"/>
  <c r="BA174" i="2" s="1"/>
  <c r="R175" i="2" s="1"/>
  <c r="S175" i="2" s="1"/>
  <c r="T175" i="2" s="1"/>
  <c r="BB175" i="2" l="1"/>
  <c r="AK175" i="2"/>
  <c r="B176" i="2" s="1"/>
  <c r="U175" i="2"/>
  <c r="AL175" i="2" l="1"/>
  <c r="C176" i="2" s="1"/>
  <c r="V175" i="2"/>
  <c r="AM175" i="2"/>
  <c r="D176" i="2" s="1"/>
  <c r="W175" i="2"/>
  <c r="AN175" i="2" s="1"/>
  <c r="E176" i="2" s="1"/>
  <c r="X175" i="2" l="1"/>
  <c r="Y175" i="2" s="1"/>
  <c r="AP175" i="2" s="1"/>
  <c r="G176" i="2" s="1"/>
  <c r="AO175" i="2" l="1"/>
  <c r="F176" i="2" s="1"/>
  <c r="Z175" i="2"/>
  <c r="AQ175" i="2" s="1"/>
  <c r="H176" i="2" s="1"/>
  <c r="AA175" i="2" l="1"/>
  <c r="AB175" i="2" l="1"/>
  <c r="AR175" i="2"/>
  <c r="I176" i="2" s="1"/>
  <c r="AS175" i="2" l="1"/>
  <c r="J176" i="2" s="1"/>
  <c r="AC175" i="2"/>
  <c r="AT175" i="2" s="1"/>
  <c r="K176" i="2" s="1"/>
  <c r="AD175" i="2"/>
  <c r="AE175" i="2"/>
  <c r="AV175" i="2" s="1"/>
  <c r="M176" i="2" s="1"/>
  <c r="AF175" i="2" l="1"/>
  <c r="AU175" i="2"/>
  <c r="L176" i="2" s="1"/>
  <c r="AW175" i="2" l="1"/>
  <c r="N176" i="2" s="1"/>
  <c r="AG175" i="2"/>
  <c r="AX175" i="2" l="1"/>
  <c r="O176" i="2" s="1"/>
  <c r="AH175" i="2"/>
  <c r="AY175" i="2" l="1"/>
  <c r="P176" i="2" s="1"/>
  <c r="AI175" i="2"/>
  <c r="AZ175" i="2" s="1"/>
  <c r="Q176" i="2" s="1"/>
  <c r="AJ175" i="2"/>
  <c r="BA175" i="2" s="1"/>
  <c r="R176" i="2" s="1"/>
  <c r="S176" i="2" l="1"/>
  <c r="T176" i="2" s="1"/>
  <c r="AK176" i="2" l="1"/>
  <c r="B177" i="2" s="1"/>
  <c r="U176" i="2"/>
  <c r="AL176" i="2" s="1"/>
  <c r="C177" i="2" s="1"/>
  <c r="BB176" i="2"/>
  <c r="V176" i="2"/>
  <c r="W176" i="2"/>
  <c r="AN176" i="2" s="1"/>
  <c r="E177" i="2" s="1"/>
  <c r="AM176" i="2" l="1"/>
  <c r="D177" i="2" s="1"/>
  <c r="X176" i="2"/>
  <c r="AO176" i="2" l="1"/>
  <c r="F177" i="2" s="1"/>
  <c r="Y176" i="2"/>
  <c r="AP176" i="2" l="1"/>
  <c r="G177" i="2" s="1"/>
  <c r="Z176" i="2"/>
  <c r="AQ176" i="2" l="1"/>
  <c r="H177" i="2" s="1"/>
  <c r="AA176" i="2"/>
  <c r="AR176" i="2" l="1"/>
  <c r="I177" i="2" s="1"/>
  <c r="AB176" i="2"/>
  <c r="AS176" i="2" l="1"/>
  <c r="J177" i="2" s="1"/>
  <c r="AC176" i="2"/>
  <c r="AD176" i="2" s="1"/>
  <c r="AT176" i="2"/>
  <c r="K177" i="2" s="1"/>
  <c r="AU176" i="2" l="1"/>
  <c r="L177" i="2" s="1"/>
  <c r="AE176" i="2"/>
  <c r="AV176" i="2" l="1"/>
  <c r="M177" i="2" s="1"/>
  <c r="AF176" i="2"/>
  <c r="AG176" i="2"/>
  <c r="AW176" i="2" l="1"/>
  <c r="N177" i="2" s="1"/>
  <c r="AX176" i="2"/>
  <c r="O177" i="2" s="1"/>
  <c r="AH176" i="2"/>
  <c r="AY176" i="2" l="1"/>
  <c r="P177" i="2" s="1"/>
  <c r="AI176" i="2"/>
  <c r="AZ176" i="2" l="1"/>
  <c r="Q177" i="2" s="1"/>
  <c r="AJ176" i="2"/>
  <c r="BA176" i="2" s="1"/>
  <c r="R177" i="2" s="1"/>
  <c r="S177" i="2" s="1"/>
  <c r="T177" i="2" s="1"/>
  <c r="BB177" i="2" l="1"/>
  <c r="AK177" i="2"/>
  <c r="B178" i="2" s="1"/>
  <c r="U177" i="2"/>
  <c r="V177" i="2" l="1"/>
  <c r="AL177" i="2"/>
  <c r="C178" i="2" s="1"/>
  <c r="W177" i="2" l="1"/>
  <c r="AM177" i="2"/>
  <c r="D178" i="2" s="1"/>
  <c r="AN177" i="2" l="1"/>
  <c r="E178" i="2" s="1"/>
  <c r="X177" i="2"/>
  <c r="Y177" i="2" s="1"/>
  <c r="Z177" i="2" l="1"/>
  <c r="AO177" i="2"/>
  <c r="F178" i="2" s="1"/>
  <c r="AA177" i="2"/>
  <c r="AP177" i="2"/>
  <c r="G178" i="2" s="1"/>
  <c r="AR177" i="2"/>
  <c r="I178" i="2" s="1"/>
  <c r="AQ177" i="2" l="1"/>
  <c r="H178" i="2" s="1"/>
  <c r="AB177" i="2"/>
  <c r="AS177" i="2" s="1"/>
  <c r="J178" i="2" s="1"/>
  <c r="AC177" i="2"/>
  <c r="AT177" i="2"/>
  <c r="K178" i="2" s="1"/>
  <c r="AD177" i="2"/>
  <c r="AU177" i="2" s="1"/>
  <c r="L178" i="2" s="1"/>
  <c r="AE177" i="2" l="1"/>
  <c r="AV177" i="2" l="1"/>
  <c r="M178" i="2" s="1"/>
  <c r="AF177" i="2"/>
  <c r="AW177" i="2" l="1"/>
  <c r="N178" i="2" s="1"/>
  <c r="AG177" i="2"/>
  <c r="AX177" i="2" s="1"/>
  <c r="O178" i="2" s="1"/>
  <c r="AH177" i="2" l="1"/>
  <c r="AY177" i="2" s="1"/>
  <c r="P178" i="2" s="1"/>
  <c r="AI177" i="2" l="1"/>
  <c r="AZ177" i="2" s="1"/>
  <c r="Q178" i="2" s="1"/>
  <c r="AJ177" i="2" l="1"/>
  <c r="BA177" i="2" s="1"/>
  <c r="R178" i="2" s="1"/>
  <c r="S178" i="2" s="1"/>
  <c r="T178" i="2" s="1"/>
  <c r="AK178" i="2" l="1"/>
  <c r="B179" i="2" s="1"/>
  <c r="U178" i="2"/>
  <c r="AL178" i="2" l="1"/>
  <c r="C179" i="2" s="1"/>
  <c r="V178" i="2"/>
  <c r="BB178" i="2"/>
  <c r="AM178" i="2" l="1"/>
  <c r="D179" i="2" s="1"/>
  <c r="W178" i="2"/>
  <c r="X178" i="2"/>
  <c r="AO178" i="2" s="1"/>
  <c r="F179" i="2" s="1"/>
  <c r="AN178" i="2"/>
  <c r="E179" i="2" s="1"/>
  <c r="Y178" i="2" l="1"/>
  <c r="Z178" i="2"/>
  <c r="AA178" i="2"/>
  <c r="AR178" i="2" s="1"/>
  <c r="I179" i="2" s="1"/>
  <c r="AB178" i="2"/>
  <c r="AS178" i="2" s="1"/>
  <c r="J179" i="2" s="1"/>
  <c r="AP178" i="2"/>
  <c r="G179" i="2" s="1"/>
  <c r="AQ178" i="2" l="1"/>
  <c r="H179" i="2" s="1"/>
  <c r="AC178" i="2"/>
  <c r="AD178" i="2" l="1"/>
  <c r="AT178" i="2"/>
  <c r="K179" i="2" s="1"/>
  <c r="AU178" i="2"/>
  <c r="L179" i="2" s="1"/>
  <c r="AE178" i="2"/>
  <c r="AF178" i="2" s="1"/>
  <c r="AW178" i="2" l="1"/>
  <c r="N179" i="2" s="1"/>
  <c r="AV178" i="2"/>
  <c r="M179" i="2" s="1"/>
  <c r="AG178" i="2"/>
  <c r="AX178" i="2" l="1"/>
  <c r="O179" i="2" s="1"/>
  <c r="AH178" i="2"/>
  <c r="AI178" i="2" l="1"/>
  <c r="AY178" i="2"/>
  <c r="P179" i="2" s="1"/>
  <c r="AJ178" i="2" l="1"/>
  <c r="BA178" i="2" s="1"/>
  <c r="R179" i="2" s="1"/>
  <c r="AZ178" i="2"/>
  <c r="Q179" i="2" s="1"/>
  <c r="S179" i="2" l="1"/>
  <c r="T179" i="2" s="1"/>
  <c r="U179" i="2" l="1"/>
  <c r="AK179" i="2"/>
  <c r="B180" i="2" s="1"/>
  <c r="V179" i="2"/>
  <c r="AM179" i="2" s="1"/>
  <c r="D180" i="2" s="1"/>
  <c r="W179" i="2" l="1"/>
  <c r="AN179" i="2" s="1"/>
  <c r="E180" i="2" s="1"/>
  <c r="AL179" i="2"/>
  <c r="C180" i="2" s="1"/>
  <c r="X179" i="2"/>
  <c r="BB179" i="2"/>
  <c r="Y179" i="2" l="1"/>
  <c r="AO179" i="2"/>
  <c r="F180" i="2" s="1"/>
  <c r="Z179" i="2"/>
  <c r="AP179" i="2"/>
  <c r="G180" i="2" s="1"/>
  <c r="AQ179" i="2" l="1"/>
  <c r="H180" i="2" s="1"/>
  <c r="AA179" i="2"/>
  <c r="AR179" i="2" l="1"/>
  <c r="I180" i="2" s="1"/>
  <c r="AB179" i="2"/>
  <c r="AC179" i="2" s="1"/>
  <c r="AT179" i="2" l="1"/>
  <c r="K180" i="2" s="1"/>
  <c r="AS179" i="2"/>
  <c r="J180" i="2" s="1"/>
  <c r="AD179" i="2"/>
  <c r="AE179" i="2" s="1"/>
  <c r="AF179" i="2" l="1"/>
  <c r="AU179" i="2"/>
  <c r="L180" i="2" s="1"/>
  <c r="AV179" i="2"/>
  <c r="M180" i="2" s="1"/>
  <c r="AW179" i="2" l="1"/>
  <c r="N180" i="2" s="1"/>
  <c r="AG179" i="2"/>
  <c r="AX179" i="2" s="1"/>
  <c r="O180" i="2" s="1"/>
  <c r="AH179" i="2"/>
  <c r="AY179" i="2" s="1"/>
  <c r="P180" i="2" s="1"/>
  <c r="AI179" i="2"/>
  <c r="AZ179" i="2" s="1"/>
  <c r="Q180" i="2" s="1"/>
  <c r="AJ179" i="2"/>
  <c r="BA179" i="2" s="1"/>
  <c r="R180" i="2" s="1"/>
  <c r="S180" i="2" s="1"/>
  <c r="T180" i="2" s="1"/>
  <c r="AK180" i="2" l="1"/>
  <c r="B181" i="2" s="1"/>
  <c r="U180" i="2"/>
  <c r="AL180" i="2" l="1"/>
  <c r="C181" i="2" s="1"/>
  <c r="BB180" i="2"/>
  <c r="V180" i="2"/>
  <c r="AM180" i="2"/>
  <c r="D181" i="2" s="1"/>
  <c r="W180" i="2"/>
  <c r="X180" i="2" s="1"/>
  <c r="AO180" i="2" s="1"/>
  <c r="F181" i="2" s="1"/>
  <c r="AN180" i="2" l="1"/>
  <c r="E181" i="2" s="1"/>
  <c r="Y180" i="2"/>
  <c r="AP180" i="2" l="1"/>
  <c r="G181" i="2" s="1"/>
  <c r="Z180" i="2"/>
  <c r="AQ180" i="2" s="1"/>
  <c r="H181" i="2" s="1"/>
  <c r="AA180" i="2" l="1"/>
  <c r="AR180" i="2" l="1"/>
  <c r="I181" i="2" s="1"/>
  <c r="AB180" i="2"/>
  <c r="AS180" i="2" l="1"/>
  <c r="J181" i="2" s="1"/>
  <c r="AC180" i="2"/>
  <c r="AT180" i="2" s="1"/>
  <c r="K181" i="2" s="1"/>
  <c r="AD180" i="2" l="1"/>
  <c r="AU180" i="2" l="1"/>
  <c r="L181" i="2" s="1"/>
  <c r="AE180" i="2"/>
  <c r="AV180" i="2" l="1"/>
  <c r="M181" i="2" s="1"/>
  <c r="AF180" i="2"/>
  <c r="AG180" i="2" s="1"/>
  <c r="AX180" i="2" s="1"/>
  <c r="O181" i="2" s="1"/>
  <c r="AW180" i="2"/>
  <c r="N181" i="2" s="1"/>
  <c r="AH180" i="2" l="1"/>
  <c r="AY180" i="2" l="1"/>
  <c r="P181" i="2" s="1"/>
  <c r="AI180" i="2"/>
  <c r="AZ180" i="2" s="1"/>
  <c r="Q181" i="2" s="1"/>
  <c r="AJ180" i="2" l="1"/>
  <c r="BA180" i="2" s="1"/>
  <c r="R181" i="2" s="1"/>
  <c r="S181" i="2" s="1"/>
  <c r="T181" i="2" s="1"/>
  <c r="BB181" i="2" l="1"/>
  <c r="V181" i="2"/>
  <c r="AM181" i="2" s="1"/>
  <c r="AM182" i="2" s="1"/>
  <c r="AK181" i="2"/>
  <c r="AK182" i="2" s="1"/>
  <c r="U181" i="2"/>
  <c r="AL181" i="2" s="1"/>
  <c r="AL182" i="2" s="1"/>
  <c r="W181" i="2" l="1"/>
  <c r="AN181" i="2" l="1"/>
  <c r="AN182" i="2" s="1"/>
  <c r="X181" i="2"/>
  <c r="AO181" i="2" l="1"/>
  <c r="AO182" i="2" s="1"/>
  <c r="Y181" i="2"/>
  <c r="AP181" i="2" l="1"/>
  <c r="AP182" i="2" s="1"/>
  <c r="Z181" i="2"/>
  <c r="AA181" i="2"/>
  <c r="AR181" i="2" s="1"/>
  <c r="AR182" i="2" s="1"/>
  <c r="AB181" i="2" l="1"/>
  <c r="AQ181" i="2"/>
  <c r="AQ182" i="2" s="1"/>
  <c r="AS181" i="2" l="1"/>
  <c r="AS182" i="2" s="1"/>
  <c r="AC181" i="2"/>
  <c r="AD181" i="2"/>
  <c r="AT181" i="2" l="1"/>
  <c r="AT182" i="2" s="1"/>
  <c r="AU181" i="2"/>
  <c r="AU182" i="2" s="1"/>
  <c r="AE181" i="2"/>
  <c r="AV181" i="2" l="1"/>
  <c r="AV182" i="2" s="1"/>
  <c r="AF181" i="2"/>
  <c r="AG181" i="2" l="1"/>
  <c r="AW181" i="2"/>
  <c r="AW182" i="2" s="1"/>
  <c r="AH181" i="2" l="1"/>
  <c r="AX181" i="2"/>
  <c r="AX182" i="2" s="1"/>
  <c r="AI181" i="2" l="1"/>
  <c r="AY181" i="2"/>
  <c r="AY182" i="2" s="1"/>
  <c r="AJ181" i="2" l="1"/>
  <c r="BA181" i="2" s="1"/>
  <c r="BA182" i="2" s="1"/>
  <c r="AZ181" i="2"/>
  <c r="AZ182" i="2" s="1"/>
</calcChain>
</file>

<file path=xl/sharedStrings.xml><?xml version="1.0" encoding="utf-8"?>
<sst xmlns="http://schemas.openxmlformats.org/spreadsheetml/2006/main" count="95" uniqueCount="42">
  <si>
    <r>
      <rPr>
        <b/>
        <sz val="20"/>
        <color theme="1"/>
        <rFont val="Arial"/>
        <family val="2"/>
      </rPr>
      <t xml:space="preserve">Mode d'emploi
</t>
    </r>
    <r>
      <rPr>
        <b/>
        <sz val="12"/>
        <color theme="1"/>
        <rFont val="Arial"/>
        <family val="2"/>
      </rPr>
      <t xml:space="preserve">Cette feuille de calcul est destinée à aider à la fusion de listes aux élections municipales entre les deux tours. Elle calcule la répartition des places sur la liste fusionnée entre les listes de premier tour ayant décidé de fusionner entre elles. Elle utilise pour cela la méthode d'Hondt.
Pour l'utiliser, il suffit de renseigner les cases </t>
    </r>
    <r>
      <rPr>
        <b/>
        <sz val="12"/>
        <color rgb="FFFFF2CC"/>
        <rFont val="Arial"/>
        <family val="2"/>
      </rPr>
      <t>en jaune</t>
    </r>
    <r>
      <rPr>
        <b/>
        <sz val="12"/>
        <color theme="1"/>
        <rFont val="Arial"/>
        <family val="2"/>
      </rPr>
      <t xml:space="preserve"> (</t>
    </r>
    <r>
      <rPr>
        <b/>
        <u/>
        <sz val="12"/>
        <color theme="1"/>
        <rFont val="Arial"/>
        <family val="2"/>
      </rPr>
      <t>uniquement</t>
    </r>
    <r>
      <rPr>
        <b/>
        <sz val="12"/>
        <color theme="1"/>
        <rFont val="Arial"/>
        <family val="2"/>
      </rPr>
      <t xml:space="preserve">) en indiquant : 
- dans la colonne A, en dessous de « Liste », le nom des listes ayant accepté de fusionner (vous pouvez effacer les intitulés de liste en trop, </t>
    </r>
    <r>
      <rPr>
        <b/>
        <u/>
        <sz val="12"/>
        <color theme="1"/>
        <rFont val="Arial"/>
        <family val="2"/>
      </rPr>
      <t>mais sans supprimer les lignes</t>
    </r>
    <r>
      <rPr>
        <b/>
        <sz val="12"/>
        <color theme="1"/>
        <rFont val="Arial"/>
        <family val="2"/>
      </rPr>
      <t xml:space="preserve">)
- dans la colonne B, en dessous de « Score du 1er tour (en voix OU en %) », le score réalisé par ces listes en voix (le plus précis) ou en pourcentage
- dans la colonne E : 
   - le sexe à l'état civil de la tête de liste fusionnée (du 2d tour)
   - le nombre de sièges au Conseil municipal de votre commune (sans les éventuels candidats supplémentaires, qui sont ajoutés automatiquement)
   - le nombre de sièges qui reviennent à votre commune au conseil communautaire (sans les +1 ou +2 candidatures supplémentaires obligatoires, qui sont ajoutées automatiquement)
</t>
    </r>
    <r>
      <rPr>
        <b/>
        <u/>
        <sz val="12"/>
        <color rgb="FFFF0000"/>
        <rFont val="Arial"/>
        <family val="2"/>
      </rPr>
      <t xml:space="preserve">Les autres cases, colonnes et feuilles du tableau ne doivent pas être touchées.
</t>
    </r>
    <r>
      <rPr>
        <b/>
        <u/>
        <sz val="12"/>
        <color theme="1"/>
        <rFont val="Arial"/>
        <family val="2"/>
      </rPr>
      <t xml:space="preserve">
</t>
    </r>
    <r>
      <rPr>
        <b/>
        <sz val="12"/>
        <color theme="1"/>
        <rFont val="Arial"/>
        <family val="2"/>
      </rPr>
      <t>Vous obtenez automatiquement :
- dans les colonnes G, H et I : une liste au Conseil municipal dont l'ordonnancement respecte la proportionnelle stricte selon les scores du premier tour.
- dans les colonnes K, L et M : une liste au Conseil communautaire dont l'ordonnancement respecte la proportionnelle stricte selon les scores du premier tour.</t>
    </r>
  </si>
  <si>
    <t>Liste</t>
  </si>
  <si>
    <t>Score du 1er tour
(en voix OU en % avec le format XX,XX)</t>
  </si>
  <si>
    <t>Sexe à l'état civil de la tête de liste du 2d tour</t>
  </si>
  <si>
    <t>Liste ordonnancée du 2e tour au Conseil municipal</t>
  </si>
  <si>
    <t>Liste ordonnancée du 2e tour au Conseil communautaire</t>
  </si>
  <si>
    <t>Récapitulatif par liste</t>
  </si>
  <si>
    <t>Nombre de candidat·es sur la liste fusionnée au Conseil municipal</t>
  </si>
  <si>
    <t>Nombre de candidat·es sur la liste fusionnée au Conseil communautaire</t>
  </si>
  <si>
    <t>Liste 1</t>
  </si>
  <si>
    <t>#</t>
  </si>
  <si>
    <t>Liste T1</t>
  </si>
  <si>
    <t>Sexe</t>
  </si>
  <si>
    <t>Liste 2</t>
  </si>
  <si>
    <t>Nombre de sièges au Conseil municipal</t>
  </si>
  <si>
    <t>Liste 3</t>
  </si>
  <si>
    <t>Liste 4</t>
  </si>
  <si>
    <t>Nombre de sièges au Conseil communautaire</t>
  </si>
  <si>
    <t>Liste 5</t>
  </si>
  <si>
    <t>Liste 6</t>
  </si>
  <si>
    <t>Liste 7</t>
  </si>
  <si>
    <t>Liste 8</t>
  </si>
  <si>
    <t>Liste 9</t>
  </si>
  <si>
    <t>Liste 10</t>
  </si>
  <si>
    <t>Liste 11</t>
  </si>
  <si>
    <t>Liste 12</t>
  </si>
  <si>
    <t>Liste 13</t>
  </si>
  <si>
    <t>Liste 14</t>
  </si>
  <si>
    <t>Liste 15</t>
  </si>
  <si>
    <t>Liste 16</t>
  </si>
  <si>
    <t>Liste 17</t>
  </si>
  <si>
    <t>TOTAL</t>
  </si>
  <si>
    <t>Fusion de liste - proportionnelle</t>
  </si>
  <si>
    <t>Voix ou %</t>
  </si>
  <si>
    <t>Attribution de chaque siège</t>
  </si>
  <si>
    <t>Nombre total de sièges attribués</t>
  </si>
  <si>
    <t>attribué à :</t>
  </si>
  <si>
    <t>cumul :</t>
  </si>
  <si>
    <t>Calcul maxi</t>
  </si>
  <si>
    <t>N° Place</t>
  </si>
  <si>
    <t>Moyenne</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</si>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</sst>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scheme val="minor"/>
    </font>
    <font>
      <b/>
      <sz val="20"/>
      <color theme="1"/>
      <name val="Arial"/>
      <family val="2"/>
      <scheme val="minor"/>
    </font>
    <font>
      <sz val="10"/>
      <name val="Arial"/>
      <family val="2"/>
    </font>
    <font>
      <b/>
      <sz val="10"/>
      <color theme="1"/>
      <name val="Arial"/>
      <family val="2"/>
      <scheme val="minor"/>
    </font>
    <font>
      <sz val="10"/>
      <color theme="1"/>
      <name val="Arial"/>
      <family val="2"/>
      <scheme val="minor"/>
    </font>
    <font>
      <b/>
      <sz val="12"/>
      <color theme="1"/>
      <name val="Arial"/>
      <family val="2"/>
    </font>
    <font>
      <b/>
      <sz val="18"/>
      <color theme="1"/>
      <name val="Arial"/>
      <family val="2"/>
    </font>
    <font>
      <sz val="10"/>
      <color theme="1"/>
      <name val="Arial"/>
      <family val="2"/>
    </font>
    <font>
      <sz val="12"/>
      <color theme="1"/>
      <name val="Arial"/>
      <family val="2"/>
    </font>
    <font>
      <b/>
      <sz val="14"/>
      <color theme="1"/>
      <name val="Arial"/>
      <family val="2"/>
    </font>
    <font>
      <sz val="14"/>
      <color rgb="FF333333"/>
      <name val="Arial"/>
      <family val="2"/>
    </font>
    <font>
      <sz val="10"/>
      <color theme="1"/>
      <name val="Arial"/>
      <family val="2"/>
    </font>
    <font>
      <b/>
      <sz val="20"/>
      <color theme="1"/>
      <name val="Arial"/>
      <family val="2"/>
    </font>
    <font>
      <b/>
      <sz val="12"/>
      <color rgb="FFFFF2CC"/>
      <name val="Arial"/>
      <family val="2"/>
    </font>
    <font>
      <b/>
      <u/>
      <sz val="12"/>
      <color theme="1"/>
      <name val="Arial"/>
      <family val="2"/>
    </font>
    <font>
      <b/>
      <u/>
      <sz val="12"/>
      <color rgb="FFFF0000"/>
      <name val="Arial"/>
      <family val="2"/>
    </font>
  </fonts>
  <fills count="6">
    <fill>
      <patternFill patternType="none"/>
    </fill>
    <fill>
      <patternFill patternType="gray125"/>
    </fill>
    <fill>
      <patternFill patternType="solid">
        <fgColor rgb="FFD9D9D9"/>
        <bgColor rgb="FFD9D9D9"/>
      </patternFill>
    </fill>
    <fill>
      <patternFill patternType="solid">
        <fgColor rgb="FFCCCCCC"/>
        <bgColor rgb="FFCCCCCC"/>
      </patternFill>
    </fill>
    <fill>
      <patternFill patternType="solid">
        <fgColor rgb="FFFFF2CC"/>
        <bgColor rgb="FFFFF2CC"/>
      </patternFill>
    </fill>
    <fill>
      <patternFill patternType="solid">
        <fgColor rgb="FFFFFFFF"/>
        <bgColor rgb="FFFFFFFF"/>
      </patternFill>
    </fill>
  </fills>
  <borders count="71">
    <border>
      <left/>
      <right/>
      <top/>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n">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ck">
        <color rgb="FF000000"/>
      </bottom>
      <diagonal/>
    </border>
    <border>
      <left style="thick">
        <color rgb="FF000000"/>
      </left>
      <right/>
      <top style="thick">
        <color rgb="FF000000"/>
      </top>
      <bottom style="thick">
        <color rgb="FF000000"/>
      </bottom>
      <diagonal/>
    </border>
    <border>
      <left style="thick">
        <color rgb="FF000000"/>
      </left>
      <right style="thin">
        <color rgb="FF000000"/>
      </right>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top style="thick">
        <color rgb="FF000000"/>
      </top>
      <bottom/>
      <diagonal/>
    </border>
    <border>
      <left style="thick">
        <color rgb="FF000000"/>
      </left>
      <right style="medium">
        <color rgb="FF000000"/>
      </right>
      <top style="thick">
        <color rgb="FF000000"/>
      </top>
      <bottom/>
      <diagonal/>
    </border>
    <border>
      <left style="medium">
        <color rgb="FF000000"/>
      </left>
      <right style="thick">
        <color rgb="FF000000"/>
      </right>
      <top style="thick">
        <color rgb="FF000000"/>
      </top>
      <bottom/>
      <diagonal/>
    </border>
    <border>
      <left style="thick">
        <color rgb="FF000000"/>
      </left>
      <right style="thick">
        <color rgb="FF000000"/>
      </right>
      <top style="thick">
        <color rgb="FF000000"/>
      </top>
      <bottom style="thin">
        <color rgb="FF000000"/>
      </bottom>
      <diagonal/>
    </border>
    <border>
      <left/>
      <right style="thick">
        <color rgb="FF000000"/>
      </right>
      <top/>
      <bottom style="thin">
        <color rgb="FF000000"/>
      </bottom>
      <diagonal/>
    </border>
    <border>
      <left style="thin">
        <color rgb="FF000000"/>
      </left>
      <right style="thick">
        <color rgb="FF000000"/>
      </right>
      <top/>
      <bottom style="thin">
        <color rgb="FF000000"/>
      </bottom>
      <diagonal/>
    </border>
    <border>
      <left style="thick">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thick">
        <color rgb="FF000000"/>
      </left>
      <right style="thick">
        <color rgb="FF000000"/>
      </right>
      <top style="thin">
        <color rgb="FF000000"/>
      </top>
      <bottom style="thin">
        <color rgb="FF000000"/>
      </bottom>
      <diagonal/>
    </border>
    <border>
      <left/>
      <right style="thick">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ck">
        <color rgb="FF000000"/>
      </right>
      <top style="thin">
        <color rgb="FF000000"/>
      </top>
      <bottom style="thick">
        <color rgb="FF000000"/>
      </bottom>
      <diagonal/>
    </border>
    <border>
      <left/>
      <right style="thick">
        <color rgb="FF000000"/>
      </right>
      <top style="thin">
        <color rgb="FF000000"/>
      </top>
      <bottom style="thick">
        <color rgb="FF000000"/>
      </bottom>
      <diagonal/>
    </border>
    <border>
      <left style="medium">
        <color rgb="FF000000"/>
      </left>
      <right style="medium">
        <color rgb="FF000000"/>
      </right>
      <top style="thin">
        <color rgb="FF000000"/>
      </top>
      <bottom style="medium">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right/>
      <top style="thick">
        <color rgb="FF000000"/>
      </top>
      <bottom/>
      <diagonal/>
    </border>
    <border>
      <left/>
      <right style="thick">
        <color rgb="FF000000"/>
      </right>
      <top style="thick">
        <color rgb="FF000000"/>
      </top>
      <bottom/>
      <diagonal/>
    </border>
    <border>
      <left/>
      <right/>
      <top/>
      <bottom style="medium">
        <color rgb="FF000000"/>
      </bottom>
      <diagonal/>
    </border>
    <border>
      <left style="medium">
        <color rgb="FFDDDDDD"/>
      </left>
      <right style="medium">
        <color rgb="FFDDDDDD"/>
      </right>
      <top style="medium">
        <color rgb="FFDDDDDD"/>
      </top>
      <bottom style="thick">
        <color rgb="FF000000"/>
      </bottom>
      <diagonal/>
    </border>
    <border>
      <left/>
      <right/>
      <top/>
      <bottom style="thick">
        <color rgb="FF000000"/>
      </bottom>
      <diagonal/>
    </border>
    <border>
      <left/>
      <right style="thick">
        <color rgb="FF000000"/>
      </right>
      <top/>
      <bottom style="thick">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medium">
        <color rgb="FF000000"/>
      </left>
      <right/>
      <top/>
      <bottom/>
      <diagonal/>
    </border>
    <border>
      <left style="thick">
        <color rgb="FF000000"/>
      </left>
      <right/>
      <top/>
      <bottom/>
      <diagonal/>
    </border>
    <border>
      <left/>
      <right style="thick">
        <color rgb="FF000000"/>
      </right>
      <top/>
      <bottom/>
      <diagonal/>
    </border>
    <border>
      <left style="thin">
        <color rgb="FF000000"/>
      </left>
      <right/>
      <top/>
      <bottom/>
      <diagonal/>
    </border>
    <border>
      <left style="thin">
        <color rgb="FF000000"/>
      </left>
      <right style="thick">
        <color rgb="FF000000"/>
      </right>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right/>
      <top style="medium">
        <color rgb="FF000000"/>
      </top>
      <bottom/>
      <diagonal/>
    </border>
    <border>
      <left style="thin">
        <color rgb="FF000000"/>
      </left>
      <right/>
      <top style="medium">
        <color rgb="FF000000"/>
      </top>
      <bottom/>
      <diagonal/>
    </border>
    <border>
      <left style="thick">
        <color rgb="FF000000"/>
      </left>
      <right style="thin">
        <color rgb="FF000000"/>
      </right>
      <top style="medium">
        <color rgb="FF000000"/>
      </top>
      <bottom/>
      <diagonal/>
    </border>
    <border>
      <left style="thin">
        <color rgb="FF000000"/>
      </left>
      <right style="thick">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ck">
        <color rgb="FF000000"/>
      </left>
      <right style="thin">
        <color rgb="FF000000"/>
      </right>
      <top/>
      <bottom style="medium">
        <color rgb="FF000000"/>
      </bottom>
      <diagonal/>
    </border>
    <border>
      <left style="thin">
        <color rgb="FF000000"/>
      </left>
      <right style="thick">
        <color rgb="FF000000"/>
      </right>
      <top/>
      <bottom style="medium">
        <color rgb="FF000000"/>
      </bottom>
      <diagonal/>
    </border>
    <border>
      <left/>
      <right style="medium">
        <color rgb="FF000000"/>
      </right>
      <top style="thick">
        <color rgb="FF000000"/>
      </top>
      <bottom/>
      <diagonal/>
    </border>
    <border>
      <left/>
      <right style="medium">
        <color rgb="FF000000"/>
      </right>
      <top style="thick">
        <color rgb="FF000000"/>
      </top>
      <bottom style="thin">
        <color rgb="FF000000"/>
      </bottom>
      <diagonal/>
    </border>
    <border>
      <left style="medium">
        <color rgb="FF000000"/>
      </left>
      <right style="medium">
        <color rgb="FF000000"/>
      </right>
      <top style="thick">
        <color rgb="FF000000"/>
      </top>
      <bottom style="thin">
        <color rgb="FF000000"/>
      </bottom>
      <diagonal/>
    </border>
    <border>
      <left style="medium">
        <color rgb="FF000000"/>
      </left>
      <right style="thin">
        <color rgb="FF000000"/>
      </right>
      <top style="thick">
        <color rgb="FF000000"/>
      </top>
      <bottom style="thin">
        <color rgb="FF000000"/>
      </bottom>
      <diagonal/>
    </border>
    <border>
      <left style="medium">
        <color rgb="FF000000"/>
      </left>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medium">
        <color rgb="FF000000"/>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top/>
      <bottom style="thin">
        <color rgb="FF000000"/>
      </bottom>
      <diagonal/>
    </border>
    <border>
      <left style="medium">
        <color rgb="FF000000"/>
      </left>
      <right/>
      <top style="thin">
        <color rgb="FF000000"/>
      </top>
      <bottom/>
      <diagonal/>
    </border>
    <border>
      <left style="medium">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s>
  <cellStyleXfs count="1">
    <xf numFmtId="0" fontId="0" fillId="0" borderId="0"/>
  </cellStyleXfs>
  <cellXfs count="115">
    <xf numFmtId="0" fontId="0" fillId="0" borderId="0" xfId="0"/>
    <xf numFmtId="0" fontId="1" fillId="0" borderId="0" xfId="0" applyFont="1" applyAlignment="1">
      <alignment vertical="top" wrapText="1"/>
    </xf>
    <xf numFmtId="0" fontId="3" fillId="0" borderId="0" xfId="0" applyFont="1"/>
    <xf numFmtId="0" fontId="3" fillId="0" borderId="0" xfId="0" applyFont="1" applyAlignment="1">
      <alignment wrapText="1"/>
    </xf>
    <xf numFmtId="0" fontId="4" fillId="0" borderId="0" xfId="0" applyFont="1" applyAlignment="1">
      <alignment wrapText="1"/>
    </xf>
    <xf numFmtId="0" fontId="4" fillId="0" borderId="0" xfId="0" applyFont="1" applyAlignment="1">
      <alignment horizontal="center"/>
    </xf>
    <xf numFmtId="0" fontId="3" fillId="0" borderId="0" xfId="0" applyFont="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4" fillId="4" borderId="2" xfId="0" applyFont="1" applyFill="1" applyBorder="1" applyAlignment="1">
      <alignment horizontal="center" vertical="center"/>
    </xf>
    <xf numFmtId="0" fontId="3" fillId="2" borderId="5" xfId="0" applyFont="1" applyFill="1" applyBorder="1"/>
    <xf numFmtId="0" fontId="3" fillId="2" borderId="2" xfId="0" applyFont="1" applyFill="1" applyBorder="1" applyAlignment="1">
      <alignment wrapText="1"/>
    </xf>
    <xf numFmtId="0" fontId="3" fillId="2" borderId="4" xfId="0" applyFont="1" applyFill="1" applyBorder="1" applyAlignment="1">
      <alignment wrapText="1"/>
    </xf>
    <xf numFmtId="0" fontId="4" fillId="4" borderId="7" xfId="0" applyFont="1" applyFill="1" applyBorder="1"/>
    <xf numFmtId="0" fontId="4" fillId="4" borderId="8" xfId="0" applyFont="1" applyFill="1" applyBorder="1"/>
    <xf numFmtId="0" fontId="3" fillId="0" borderId="0" xfId="0" applyFont="1" applyAlignment="1">
      <alignment horizontal="center" vertical="center"/>
    </xf>
    <xf numFmtId="0" fontId="3" fillId="0" borderId="9" xfId="0" applyFont="1" applyBorder="1"/>
    <xf numFmtId="0" fontId="3" fillId="0" borderId="10" xfId="0" applyFont="1" applyBorder="1"/>
    <xf numFmtId="0" fontId="3" fillId="0" borderId="11" xfId="0" applyFont="1" applyBorder="1"/>
    <xf numFmtId="0" fontId="4" fillId="0" borderId="12" xfId="0" applyFont="1" applyBorder="1"/>
    <xf numFmtId="0" fontId="4" fillId="0" borderId="13" xfId="0" applyFont="1" applyBorder="1" applyAlignment="1">
      <alignment horizontal="center"/>
    </xf>
    <xf numFmtId="0" fontId="4" fillId="0" borderId="14" xfId="0" applyFont="1" applyBorder="1" applyAlignment="1">
      <alignment horizontal="center"/>
    </xf>
    <xf numFmtId="0" fontId="4" fillId="4" borderId="15" xfId="0" applyFont="1" applyFill="1" applyBorder="1"/>
    <xf numFmtId="0" fontId="4" fillId="0" borderId="16" xfId="0" applyFont="1" applyBorder="1"/>
    <xf numFmtId="0" fontId="4" fillId="0" borderId="17" xfId="0" applyFont="1" applyBorder="1"/>
    <xf numFmtId="0" fontId="4" fillId="0" borderId="18" xfId="0" applyFont="1" applyBorder="1" applyAlignment="1">
      <alignment horizontal="center"/>
    </xf>
    <xf numFmtId="0" fontId="4" fillId="0" borderId="8" xfId="0" applyFont="1" applyBorder="1" applyAlignment="1">
      <alignment horizontal="center"/>
    </xf>
    <xf numFmtId="0" fontId="4" fillId="0" borderId="19" xfId="0" applyFont="1" applyBorder="1"/>
    <xf numFmtId="3" fontId="4" fillId="4" borderId="2" xfId="0" applyNumberFormat="1" applyFont="1" applyFill="1" applyBorder="1" applyAlignment="1">
      <alignment horizontal="center" vertical="center"/>
    </xf>
    <xf numFmtId="0" fontId="4" fillId="4" borderId="20" xfId="0" applyFont="1" applyFill="1" applyBorder="1"/>
    <xf numFmtId="0" fontId="4" fillId="4" borderId="21" xfId="0" applyFont="1" applyFill="1" applyBorder="1"/>
    <xf numFmtId="0" fontId="4" fillId="0" borderId="22" xfId="0" applyFont="1" applyBorder="1"/>
    <xf numFmtId="0" fontId="4" fillId="0" borderId="23" xfId="0" applyFont="1" applyBorder="1" applyAlignment="1">
      <alignment horizontal="center"/>
    </xf>
    <xf numFmtId="0" fontId="4" fillId="0" borderId="21" xfId="0" applyFont="1" applyBorder="1" applyAlignment="1">
      <alignment horizontal="center"/>
    </xf>
    <xf numFmtId="0" fontId="5" fillId="0" borderId="6" xfId="0" applyFont="1" applyBorder="1" applyAlignment="1">
      <alignment horizontal="center"/>
    </xf>
    <xf numFmtId="0" fontId="5" fillId="0" borderId="5" xfId="0" applyFont="1" applyBorder="1" applyAlignment="1">
      <alignment horizontal="center"/>
    </xf>
    <xf numFmtId="0" fontId="4" fillId="0" borderId="24" xfId="0" applyFont="1" applyBorder="1"/>
    <xf numFmtId="0" fontId="6" fillId="0" borderId="0" xfId="0" applyFont="1" applyAlignment="1">
      <alignment horizontal="center" vertical="center"/>
    </xf>
    <xf numFmtId="0" fontId="7" fillId="0" borderId="0" xfId="0" applyFont="1"/>
    <xf numFmtId="0" fontId="8" fillId="0" borderId="0" xfId="0" applyFont="1" applyAlignment="1">
      <alignment horizontal="center" vertical="center" wrapText="1"/>
    </xf>
    <xf numFmtId="0" fontId="6" fillId="0" borderId="0" xfId="0" applyFont="1" applyAlignment="1">
      <alignment horizontal="center"/>
    </xf>
    <xf numFmtId="0" fontId="8" fillId="0" borderId="25" xfId="0" applyFont="1" applyBorder="1"/>
    <xf numFmtId="0" fontId="5" fillId="0" borderId="26" xfId="0" applyFont="1" applyBorder="1" applyAlignment="1">
      <alignment horizontal="center"/>
    </xf>
    <xf numFmtId="0" fontId="5" fillId="0" borderId="27" xfId="0" applyFont="1" applyBorder="1" applyAlignment="1">
      <alignment horizontal="center"/>
    </xf>
    <xf numFmtId="0" fontId="5" fillId="0" borderId="28" xfId="0" applyFont="1" applyBorder="1" applyAlignment="1">
      <alignment horizontal="center"/>
    </xf>
    <xf numFmtId="0" fontId="5" fillId="0" borderId="0" xfId="0" applyFont="1" applyAlignment="1">
      <alignment horizontal="center"/>
    </xf>
    <xf numFmtId="0" fontId="9" fillId="0" borderId="20" xfId="0" applyFont="1" applyBorder="1" applyAlignment="1">
      <alignment horizontal="center"/>
    </xf>
    <xf numFmtId="4" fontId="10" fillId="5" borderId="30" xfId="0" applyNumberFormat="1" applyFont="1" applyFill="1" applyBorder="1" applyAlignment="1">
      <alignment horizontal="right" vertical="center" wrapText="1"/>
    </xf>
    <xf numFmtId="4" fontId="10" fillId="5" borderId="31" xfId="0" applyNumberFormat="1" applyFont="1" applyFill="1" applyBorder="1" applyAlignment="1">
      <alignment horizontal="right" vertical="center" wrapText="1"/>
    </xf>
    <xf numFmtId="4" fontId="10" fillId="5" borderId="32" xfId="0" applyNumberFormat="1" applyFont="1" applyFill="1" applyBorder="1" applyAlignment="1">
      <alignment horizontal="right" vertical="center" wrapText="1"/>
    </xf>
    <xf numFmtId="4" fontId="7" fillId="0" borderId="0" xfId="0" applyNumberFormat="1" applyFont="1"/>
    <xf numFmtId="0" fontId="5" fillId="0" borderId="38" xfId="0" applyFont="1" applyBorder="1" applyAlignment="1">
      <alignment horizontal="center"/>
    </xf>
    <xf numFmtId="0" fontId="5" fillId="0" borderId="39" xfId="0" applyFont="1" applyBorder="1" applyAlignment="1">
      <alignment horizontal="center"/>
    </xf>
    <xf numFmtId="0" fontId="5" fillId="0" borderId="40" xfId="0" applyFont="1" applyBorder="1" applyAlignment="1">
      <alignment horizontal="center"/>
    </xf>
    <xf numFmtId="0" fontId="5" fillId="0" borderId="41" xfId="0" applyFont="1" applyBorder="1" applyAlignment="1">
      <alignment horizontal="center"/>
    </xf>
    <xf numFmtId="0" fontId="5" fillId="0" borderId="42" xfId="0" applyFont="1" applyBorder="1" applyAlignment="1">
      <alignment horizontal="center"/>
    </xf>
    <xf numFmtId="0" fontId="5" fillId="0" borderId="43" xfId="0" applyFont="1" applyBorder="1"/>
    <xf numFmtId="0" fontId="5" fillId="0" borderId="44" xfId="0" applyFont="1" applyBorder="1" applyAlignment="1">
      <alignment horizontal="center"/>
    </xf>
    <xf numFmtId="0" fontId="5" fillId="0" borderId="45" xfId="0" applyFont="1" applyBorder="1" applyAlignment="1">
      <alignment horizontal="center"/>
    </xf>
    <xf numFmtId="0" fontId="5" fillId="0" borderId="46" xfId="0" applyFont="1" applyBorder="1" applyAlignment="1">
      <alignment horizontal="center"/>
    </xf>
    <xf numFmtId="0" fontId="5" fillId="0" borderId="50" xfId="0" applyFont="1" applyBorder="1" applyAlignment="1">
      <alignment horizontal="center"/>
    </xf>
    <xf numFmtId="0" fontId="5" fillId="0" borderId="51" xfId="0" applyFont="1" applyBorder="1" applyAlignment="1">
      <alignment horizontal="center"/>
    </xf>
    <xf numFmtId="0" fontId="5" fillId="0" borderId="52" xfId="0" applyFont="1" applyBorder="1" applyAlignment="1">
      <alignment horizontal="center"/>
    </xf>
    <xf numFmtId="0" fontId="8" fillId="0" borderId="0" xfId="0" applyFont="1"/>
    <xf numFmtId="0" fontId="8" fillId="0" borderId="39" xfId="0" applyFont="1" applyBorder="1"/>
    <xf numFmtId="0" fontId="7" fillId="0" borderId="40" xfId="0" applyFont="1" applyBorder="1"/>
    <xf numFmtId="0" fontId="5" fillId="0" borderId="58" xfId="0" applyFont="1" applyBorder="1" applyAlignment="1">
      <alignment horizontal="center"/>
    </xf>
    <xf numFmtId="2" fontId="8" fillId="0" borderId="59" xfId="0" applyNumberFormat="1" applyFont="1" applyBorder="1" applyAlignment="1">
      <alignment horizontal="center"/>
    </xf>
    <xf numFmtId="2" fontId="8" fillId="0" borderId="60" xfId="0" applyNumberFormat="1" applyFont="1" applyBorder="1" applyAlignment="1">
      <alignment horizontal="center"/>
    </xf>
    <xf numFmtId="2" fontId="8" fillId="0" borderId="61" xfId="0" applyNumberFormat="1" applyFont="1" applyBorder="1" applyAlignment="1">
      <alignment horizontal="center"/>
    </xf>
    <xf numFmtId="2" fontId="8" fillId="0" borderId="62" xfId="0" applyNumberFormat="1" applyFont="1" applyBorder="1" applyAlignment="1">
      <alignment horizontal="center"/>
    </xf>
    <xf numFmtId="0" fontId="8" fillId="0" borderId="12" xfId="0" applyFont="1" applyBorder="1" applyAlignment="1">
      <alignment horizontal="center"/>
    </xf>
    <xf numFmtId="0" fontId="8" fillId="0" borderId="35" xfId="0" applyFont="1" applyBorder="1" applyAlignment="1">
      <alignment horizontal="center"/>
    </xf>
    <xf numFmtId="0" fontId="8" fillId="0" borderId="25" xfId="0" applyFont="1" applyBorder="1" applyAlignment="1">
      <alignment horizontal="center"/>
    </xf>
    <xf numFmtId="0" fontId="8" fillId="0" borderId="26" xfId="0" applyFont="1" applyBorder="1" applyAlignment="1">
      <alignment horizontal="center"/>
    </xf>
    <xf numFmtId="0" fontId="8" fillId="0" borderId="63" xfId="0" applyFont="1" applyBorder="1" applyAlignment="1">
      <alignment horizontal="center"/>
    </xf>
    <xf numFmtId="0" fontId="5" fillId="0" borderId="64" xfId="0" applyFont="1" applyBorder="1" applyAlignment="1">
      <alignment horizontal="center"/>
    </xf>
    <xf numFmtId="2" fontId="8" fillId="0" borderId="64" xfId="0" applyNumberFormat="1" applyFont="1" applyBorder="1" applyAlignment="1">
      <alignment horizontal="center"/>
    </xf>
    <xf numFmtId="2" fontId="8" fillId="0" borderId="38" xfId="0" applyNumberFormat="1" applyFont="1" applyBorder="1" applyAlignment="1">
      <alignment horizontal="center"/>
    </xf>
    <xf numFmtId="0" fontId="8" fillId="0" borderId="15" xfId="0" applyFont="1" applyBorder="1" applyAlignment="1">
      <alignment horizontal="center"/>
    </xf>
    <xf numFmtId="0" fontId="8" fillId="0" borderId="65" xfId="0" applyFont="1" applyBorder="1" applyAlignment="1">
      <alignment horizontal="center"/>
    </xf>
    <xf numFmtId="0" fontId="8" fillId="0" borderId="8" xfId="0" applyFont="1" applyBorder="1" applyAlignment="1">
      <alignment horizontal="center"/>
    </xf>
    <xf numFmtId="2" fontId="8" fillId="0" borderId="66" xfId="0" applyNumberFormat="1" applyFont="1" applyBorder="1" applyAlignment="1">
      <alignment horizontal="center"/>
    </xf>
    <xf numFmtId="2" fontId="8" fillId="0" borderId="67" xfId="0" applyNumberFormat="1" applyFont="1" applyBorder="1" applyAlignment="1">
      <alignment horizontal="center"/>
    </xf>
    <xf numFmtId="0" fontId="11" fillId="0" borderId="68" xfId="0" applyFont="1" applyBorder="1"/>
    <xf numFmtId="0" fontId="11" fillId="0" borderId="69" xfId="0" applyFont="1" applyBorder="1"/>
    <xf numFmtId="0" fontId="11" fillId="0" borderId="70" xfId="0" applyFont="1" applyBorder="1"/>
    <xf numFmtId="0" fontId="5" fillId="0" borderId="70" xfId="0" applyFont="1" applyBorder="1" applyAlignment="1">
      <alignment horizontal="center"/>
    </xf>
    <xf numFmtId="0" fontId="5" fillId="0" borderId="4" xfId="0" applyFont="1" applyBorder="1" applyAlignment="1">
      <alignment horizontal="center"/>
    </xf>
    <xf numFmtId="0" fontId="1" fillId="2" borderId="1" xfId="0" applyFont="1" applyFill="1" applyBorder="1" applyAlignment="1">
      <alignment vertical="top" wrapText="1"/>
    </xf>
    <xf numFmtId="0" fontId="2" fillId="0" borderId="1" xfId="0" applyFont="1" applyBorder="1"/>
    <xf numFmtId="0" fontId="2" fillId="0" borderId="2" xfId="0" applyFont="1" applyBorder="1"/>
    <xf numFmtId="0" fontId="3" fillId="3" borderId="6" xfId="0" applyFont="1" applyFill="1" applyBorder="1" applyAlignment="1">
      <alignment horizontal="center" vertical="center" wrapText="1"/>
    </xf>
    <xf numFmtId="0" fontId="5" fillId="0" borderId="48" xfId="0" applyFont="1" applyBorder="1" applyAlignment="1">
      <alignment horizontal="center"/>
    </xf>
    <xf numFmtId="0" fontId="2" fillId="0" borderId="56" xfId="0" applyFont="1" applyBorder="1"/>
    <xf numFmtId="0" fontId="5" fillId="0" borderId="45" xfId="0" applyFont="1" applyBorder="1" applyAlignment="1">
      <alignment horizontal="center"/>
    </xf>
    <xf numFmtId="0" fontId="2" fillId="0" borderId="54" xfId="0" applyFont="1" applyBorder="1"/>
    <xf numFmtId="0" fontId="5" fillId="0" borderId="44" xfId="0" applyFont="1" applyBorder="1" applyAlignment="1">
      <alignment horizontal="center"/>
    </xf>
    <xf numFmtId="0" fontId="2" fillId="0" borderId="53" xfId="0" applyFont="1" applyBorder="1"/>
    <xf numFmtId="0" fontId="5" fillId="0" borderId="49" xfId="0" applyFont="1" applyBorder="1" applyAlignment="1">
      <alignment horizontal="center"/>
    </xf>
    <xf numFmtId="0" fontId="2" fillId="0" borderId="57" xfId="0" applyFont="1" applyBorder="1"/>
    <xf numFmtId="0" fontId="6" fillId="0" borderId="0" xfId="0" applyFont="1" applyAlignment="1">
      <alignment horizontal="center" vertical="center" wrapText="1"/>
    </xf>
    <xf numFmtId="0" fontId="0" fillId="0" borderId="0" xfId="0"/>
    <xf numFmtId="0" fontId="8" fillId="0" borderId="0" xfId="0" applyFont="1" applyAlignment="1">
      <alignment horizontal="center" vertical="center" wrapText="1"/>
    </xf>
    <xf numFmtId="0" fontId="2" fillId="0" borderId="29" xfId="0" applyFont="1" applyBorder="1"/>
    <xf numFmtId="0" fontId="5" fillId="0" borderId="33" xfId="0" applyFont="1" applyBorder="1" applyAlignment="1">
      <alignment horizontal="center"/>
    </xf>
    <xf numFmtId="0" fontId="2" fillId="0" borderId="34" xfId="0" applyFont="1" applyBorder="1"/>
    <xf numFmtId="0" fontId="5" fillId="0" borderId="35" xfId="0" applyFont="1" applyBorder="1" applyAlignment="1">
      <alignment horizontal="center"/>
    </xf>
    <xf numFmtId="0" fontId="2" fillId="0" borderId="36" xfId="0" applyFont="1" applyBorder="1"/>
    <xf numFmtId="0" fontId="2" fillId="0" borderId="37" xfId="0" applyFont="1" applyBorder="1"/>
    <xf numFmtId="0" fontId="5" fillId="0" borderId="43" xfId="0" applyFont="1" applyBorder="1" applyAlignment="1">
      <alignment horizontal="center" wrapText="1"/>
    </xf>
    <xf numFmtId="0" fontId="2" fillId="0" borderId="50" xfId="0" applyFont="1" applyBorder="1"/>
    <xf numFmtId="0" fontId="5" fillId="0" borderId="47" xfId="0" applyFont="1" applyBorder="1" applyAlignment="1">
      <alignment horizontal="center"/>
    </xf>
    <xf numFmtId="0" fontId="2" fillId="0" borderId="55" xfId="0" applyFont="1" applyBorder="1"/>
  </cellXfs>
  <cellStyles count="1">
    <cellStyle name="Normal" xfId="0" builtinId="0"/>
  </cellStyles>
  <dxfs count="2">
    <dxf>
      <fill>
        <patternFill patternType="solid">
          <fgColor rgb="FFB7E1CD"/>
          <bgColor rgb="FFB7E1CD"/>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69"/>
  <sheetViews>
    <sheetView tabSelected="1" zoomScale="50" workbookViewId="0">
      <selection activeCell="P29" sqref="P29"/>
    </sheetView>
  </sheetViews>
  <sheetFormatPr baseColWidth="10" defaultColWidth="12.6640625" defaultRowHeight="13" x14ac:dyDescent="0.15"/>
  <cols>
    <col min="1" max="1" width="44.1640625" customWidth="1"/>
    <col min="2" max="2" width="17.6640625" customWidth="1"/>
    <col min="4" max="4" width="18.5" customWidth="1"/>
    <col min="7" max="7" width="8.5" customWidth="1"/>
    <col min="8" max="8" width="25" customWidth="1"/>
    <col min="9" max="9" width="5" customWidth="1"/>
    <col min="15" max="15" width="18" customWidth="1"/>
    <col min="16" max="16" width="23.6640625" customWidth="1"/>
    <col min="17" max="17" width="30.6640625" customWidth="1"/>
  </cols>
  <sheetData>
    <row r="1" spans="1:17" ht="334" customHeight="1" x14ac:dyDescent="0.15">
      <c r="A1" s="90" t="s">
        <v>0</v>
      </c>
      <c r="B1" s="91"/>
      <c r="C1" s="91"/>
      <c r="D1" s="91"/>
      <c r="E1" s="91"/>
      <c r="F1" s="91"/>
      <c r="G1" s="91"/>
      <c r="H1" s="91"/>
      <c r="I1" s="91"/>
      <c r="J1" s="92"/>
      <c r="K1" s="1"/>
      <c r="L1" s="1"/>
      <c r="M1" s="1"/>
      <c r="O1" s="2"/>
      <c r="P1" s="3"/>
      <c r="Q1" s="3"/>
    </row>
    <row r="2" spans="1:17" x14ac:dyDescent="0.15">
      <c r="A2" s="2"/>
      <c r="B2" s="2"/>
      <c r="D2" s="4"/>
      <c r="E2" s="5"/>
      <c r="G2" s="6"/>
      <c r="H2" s="6"/>
      <c r="I2" s="6"/>
      <c r="K2" s="6"/>
      <c r="L2" s="6"/>
      <c r="M2" s="6"/>
      <c r="O2" s="2"/>
      <c r="P2" s="3"/>
      <c r="Q2" s="3"/>
    </row>
    <row r="3" spans="1:17" ht="56" x14ac:dyDescent="0.15">
      <c r="A3" s="7" t="s">
        <v>1</v>
      </c>
      <c r="B3" s="8" t="s">
        <v>2</v>
      </c>
      <c r="D3" s="9" t="s">
        <v>3</v>
      </c>
      <c r="E3" s="10" t="s">
        <v>41</v>
      </c>
      <c r="G3" s="93" t="s">
        <v>4</v>
      </c>
      <c r="H3" s="91"/>
      <c r="I3" s="92"/>
      <c r="K3" s="93" t="s">
        <v>5</v>
      </c>
      <c r="L3" s="91"/>
      <c r="M3" s="92"/>
      <c r="O3" s="11" t="s">
        <v>6</v>
      </c>
      <c r="P3" s="12" t="s">
        <v>7</v>
      </c>
      <c r="Q3" s="13" t="s">
        <v>8</v>
      </c>
    </row>
    <row r="4" spans="1:17" x14ac:dyDescent="0.15">
      <c r="A4" s="14" t="s">
        <v>9</v>
      </c>
      <c r="B4" s="15">
        <v>19</v>
      </c>
      <c r="D4" s="16"/>
      <c r="G4" s="17" t="s">
        <v>10</v>
      </c>
      <c r="H4" s="18" t="s">
        <v>11</v>
      </c>
      <c r="I4" s="19" t="s">
        <v>12</v>
      </c>
      <c r="K4" s="17" t="s">
        <v>10</v>
      </c>
      <c r="L4" s="18" t="s">
        <v>11</v>
      </c>
      <c r="M4" s="19" t="s">
        <v>12</v>
      </c>
      <c r="O4" s="20" t="str">
        <f t="array" ref="O4:O20">A4:A20</f>
        <v>Liste 1</v>
      </c>
      <c r="P4" s="21">
        <f t="shared" ref="P4:P20" si="0">COUNTIF($H$4:$H$169,$O4)</f>
        <v>20</v>
      </c>
      <c r="Q4" s="22">
        <f t="shared" ref="Q4:Q20" si="1">COUNTIF($L$4:$L$64,$O4)</f>
        <v>1</v>
      </c>
    </row>
    <row r="5" spans="1:17" ht="42" x14ac:dyDescent="0.15">
      <c r="A5" s="23" t="s">
        <v>13</v>
      </c>
      <c r="B5" s="15">
        <v>22</v>
      </c>
      <c r="D5" s="9" t="s">
        <v>14</v>
      </c>
      <c r="E5" s="10">
        <v>43</v>
      </c>
      <c r="G5" s="24">
        <v>1</v>
      </c>
      <c r="H5" s="24" t="str">
        <f>IF(G5&lt;&gt;"",'NE PAS TOUCHER  Calcul'!$BB17,"")</f>
        <v>Liste 2</v>
      </c>
      <c r="I5" s="24" t="str">
        <f>$E$3</f>
        <v>H</v>
      </c>
      <c r="K5" s="24">
        <v>1</v>
      </c>
      <c r="L5" s="24" t="str">
        <f>IF(K5&lt;&gt;"",'NE PAS TOUCHER  Calcul'!$BB17,"")</f>
        <v>Liste 2</v>
      </c>
      <c r="M5" s="24" t="str">
        <f>$E$3</f>
        <v>H</v>
      </c>
      <c r="O5" s="25" t="str">
        <v>Liste 2</v>
      </c>
      <c r="P5" s="26">
        <f>COUNTIF($H$4:$H$169,$O5)</f>
        <v>23</v>
      </c>
      <c r="Q5" s="27">
        <f t="shared" si="1"/>
        <v>1</v>
      </c>
    </row>
    <row r="6" spans="1:17" x14ac:dyDescent="0.15">
      <c r="A6" s="23" t="s">
        <v>15</v>
      </c>
      <c r="B6" s="15"/>
      <c r="D6" s="16"/>
      <c r="G6" s="28">
        <f t="shared" ref="G6:G169" si="2">IF(G5&lt;&gt;"",IF(($G5+1)&lt;=($E$5+2),G5+1,""),"")</f>
        <v>2</v>
      </c>
      <c r="H6" s="28" t="str">
        <f>IF(G6&lt;&gt;"",'NE PAS TOUCHER  Calcul'!$BB18,"")</f>
        <v>Liste 1</v>
      </c>
      <c r="I6" s="28" t="str">
        <f t="shared" ref="I6:I169" si="3">IF(G6&lt;&gt;"",IF(I5="F","H","F"),"")</f>
        <v>F</v>
      </c>
      <c r="K6" s="28">
        <f t="shared" ref="K6:K64" si="4">IF(K5&lt;&gt;"",IF(K5+1&lt;=IF($E$7&lt;5,$E$7+1,$E$7+2),$K5+1,""),"")</f>
        <v>2</v>
      </c>
      <c r="L6" s="28" t="str">
        <f>IF(K6&lt;&gt;"",'NE PAS TOUCHER  Calcul'!$BB18,"")</f>
        <v>Liste 1</v>
      </c>
      <c r="M6" s="28" t="str">
        <f t="shared" ref="M6:M64" si="5">IF(K6&lt;&gt;"",IF(M5="F","H","F"),"")</f>
        <v>F</v>
      </c>
      <c r="O6" s="25" t="str">
        <v>Liste 3</v>
      </c>
      <c r="P6" s="26">
        <f t="shared" si="0"/>
        <v>0</v>
      </c>
      <c r="Q6" s="27">
        <f t="shared" si="1"/>
        <v>0</v>
      </c>
    </row>
    <row r="7" spans="1:17" ht="42" x14ac:dyDescent="0.15">
      <c r="A7" s="23" t="s">
        <v>16</v>
      </c>
      <c r="B7" s="15"/>
      <c r="D7" s="9" t="s">
        <v>17</v>
      </c>
      <c r="E7" s="29">
        <v>1</v>
      </c>
      <c r="G7" s="28">
        <f t="shared" si="2"/>
        <v>3</v>
      </c>
      <c r="H7" s="28" t="str">
        <f>IF(G7&lt;&gt;"",'NE PAS TOUCHER  Calcul'!$BB19,"")</f>
        <v>Liste 2</v>
      </c>
      <c r="I7" s="28" t="str">
        <f t="shared" si="3"/>
        <v>H</v>
      </c>
      <c r="K7" s="28" t="str">
        <f t="shared" si="4"/>
        <v/>
      </c>
      <c r="L7" s="28" t="str">
        <f>IF(K7&lt;&gt;"",'NE PAS TOUCHER  Calcul'!$BB19,"")</f>
        <v/>
      </c>
      <c r="M7" s="28" t="str">
        <f t="shared" si="5"/>
        <v/>
      </c>
      <c r="O7" s="25" t="str">
        <v>Liste 4</v>
      </c>
      <c r="P7" s="26">
        <f t="shared" si="0"/>
        <v>0</v>
      </c>
      <c r="Q7" s="27">
        <f t="shared" si="1"/>
        <v>0</v>
      </c>
    </row>
    <row r="8" spans="1:17" x14ac:dyDescent="0.15">
      <c r="A8" s="23" t="s">
        <v>18</v>
      </c>
      <c r="B8" s="15"/>
      <c r="G8" s="28">
        <f t="shared" si="2"/>
        <v>4</v>
      </c>
      <c r="H8" s="28" t="str">
        <f>IF(G8&lt;&gt;"",'NE PAS TOUCHER  Calcul'!$BB20,"")</f>
        <v>Liste 1</v>
      </c>
      <c r="I8" s="28" t="str">
        <f t="shared" si="3"/>
        <v>F</v>
      </c>
      <c r="K8" s="28" t="str">
        <f t="shared" si="4"/>
        <v/>
      </c>
      <c r="L8" s="28" t="str">
        <f>IF(K8&lt;&gt;"",'NE PAS TOUCHER  Calcul'!$BB20,"")</f>
        <v/>
      </c>
      <c r="M8" s="28" t="str">
        <f t="shared" si="5"/>
        <v/>
      </c>
      <c r="O8" s="25" t="str">
        <v>Liste 5</v>
      </c>
      <c r="P8" s="26">
        <f t="shared" si="0"/>
        <v>0</v>
      </c>
      <c r="Q8" s="27">
        <f t="shared" si="1"/>
        <v>0</v>
      </c>
    </row>
    <row r="9" spans="1:17" x14ac:dyDescent="0.15">
      <c r="A9" s="23" t="s">
        <v>19</v>
      </c>
      <c r="B9" s="15"/>
      <c r="G9" s="28">
        <f t="shared" si="2"/>
        <v>5</v>
      </c>
      <c r="H9" s="28" t="str">
        <f>IF(G9&lt;&gt;"",'NE PAS TOUCHER  Calcul'!$BB21,"")</f>
        <v>Liste 2</v>
      </c>
      <c r="I9" s="28" t="str">
        <f t="shared" si="3"/>
        <v>H</v>
      </c>
      <c r="K9" s="28" t="str">
        <f t="shared" si="4"/>
        <v/>
      </c>
      <c r="L9" s="28" t="str">
        <f>IF(K9&lt;&gt;"",'NE PAS TOUCHER  Calcul'!$BB21,"")</f>
        <v/>
      </c>
      <c r="M9" s="28" t="str">
        <f t="shared" si="5"/>
        <v/>
      </c>
      <c r="O9" s="25" t="str">
        <v>Liste 6</v>
      </c>
      <c r="P9" s="26">
        <f t="shared" si="0"/>
        <v>0</v>
      </c>
      <c r="Q9" s="27">
        <f t="shared" si="1"/>
        <v>0</v>
      </c>
    </row>
    <row r="10" spans="1:17" x14ac:dyDescent="0.15">
      <c r="A10" s="23" t="s">
        <v>20</v>
      </c>
      <c r="B10" s="15"/>
      <c r="G10" s="28">
        <f t="shared" si="2"/>
        <v>6</v>
      </c>
      <c r="H10" s="28" t="str">
        <f>IF(G10&lt;&gt;"",'NE PAS TOUCHER  Calcul'!$BB22,"")</f>
        <v>Liste 1</v>
      </c>
      <c r="I10" s="28" t="str">
        <f t="shared" si="3"/>
        <v>F</v>
      </c>
      <c r="K10" s="28" t="str">
        <f t="shared" si="4"/>
        <v/>
      </c>
      <c r="L10" s="28" t="str">
        <f>IF(K10&lt;&gt;"",'NE PAS TOUCHER  Calcul'!$BB22,"")</f>
        <v/>
      </c>
      <c r="M10" s="28" t="str">
        <f t="shared" si="5"/>
        <v/>
      </c>
      <c r="O10" s="25" t="str">
        <v>Liste 7</v>
      </c>
      <c r="P10" s="26">
        <f t="shared" si="0"/>
        <v>0</v>
      </c>
      <c r="Q10" s="27">
        <f t="shared" si="1"/>
        <v>0</v>
      </c>
    </row>
    <row r="11" spans="1:17" x14ac:dyDescent="0.15">
      <c r="A11" s="23" t="s">
        <v>21</v>
      </c>
      <c r="B11" s="15"/>
      <c r="G11" s="28">
        <f t="shared" si="2"/>
        <v>7</v>
      </c>
      <c r="H11" s="28" t="str">
        <f>IF(G11&lt;&gt;"",'NE PAS TOUCHER  Calcul'!$BB23,"")</f>
        <v>Liste 2</v>
      </c>
      <c r="I11" s="28" t="str">
        <f t="shared" si="3"/>
        <v>H</v>
      </c>
      <c r="K11" s="28" t="str">
        <f t="shared" si="4"/>
        <v/>
      </c>
      <c r="L11" s="28" t="str">
        <f>IF(K11&lt;&gt;"",'NE PAS TOUCHER  Calcul'!$BB23,"")</f>
        <v/>
      </c>
      <c r="M11" s="28" t="str">
        <f t="shared" si="5"/>
        <v/>
      </c>
      <c r="O11" s="25" t="str">
        <v>Liste 8</v>
      </c>
      <c r="P11" s="26">
        <f t="shared" si="0"/>
        <v>0</v>
      </c>
      <c r="Q11" s="27">
        <f t="shared" si="1"/>
        <v>0</v>
      </c>
    </row>
    <row r="12" spans="1:17" x14ac:dyDescent="0.15">
      <c r="A12" s="23" t="s">
        <v>22</v>
      </c>
      <c r="B12" s="15"/>
      <c r="G12" s="28">
        <f t="shared" si="2"/>
        <v>8</v>
      </c>
      <c r="H12" s="28" t="str">
        <f>IF(G12&lt;&gt;"",'NE PAS TOUCHER  Calcul'!$BB24,"")</f>
        <v>Liste 1</v>
      </c>
      <c r="I12" s="28" t="str">
        <f t="shared" si="3"/>
        <v>F</v>
      </c>
      <c r="K12" s="28" t="str">
        <f t="shared" si="4"/>
        <v/>
      </c>
      <c r="L12" s="28" t="str">
        <f>IF(K12&lt;&gt;"",'NE PAS TOUCHER  Calcul'!$BB24,"")</f>
        <v/>
      </c>
      <c r="M12" s="28" t="str">
        <f t="shared" si="5"/>
        <v/>
      </c>
      <c r="O12" s="25" t="str">
        <v>Liste 9</v>
      </c>
      <c r="P12" s="26">
        <f t="shared" si="0"/>
        <v>0</v>
      </c>
      <c r="Q12" s="27">
        <f t="shared" si="1"/>
        <v>0</v>
      </c>
    </row>
    <row r="13" spans="1:17" x14ac:dyDescent="0.15">
      <c r="A13" s="23" t="s">
        <v>23</v>
      </c>
      <c r="B13" s="15"/>
      <c r="G13" s="28">
        <f t="shared" si="2"/>
        <v>9</v>
      </c>
      <c r="H13" s="28" t="str">
        <f>IF(G13&lt;&gt;"",'NE PAS TOUCHER  Calcul'!$BB25,"")</f>
        <v>Liste 2</v>
      </c>
      <c r="I13" s="28" t="str">
        <f t="shared" si="3"/>
        <v>H</v>
      </c>
      <c r="K13" s="28" t="str">
        <f t="shared" si="4"/>
        <v/>
      </c>
      <c r="L13" s="28" t="str">
        <f>IF(K13&lt;&gt;"",'NE PAS TOUCHER  Calcul'!$BB25,"")</f>
        <v/>
      </c>
      <c r="M13" s="28" t="str">
        <f t="shared" si="5"/>
        <v/>
      </c>
      <c r="O13" s="25" t="str">
        <v>Liste 10</v>
      </c>
      <c r="P13" s="26">
        <f t="shared" si="0"/>
        <v>0</v>
      </c>
      <c r="Q13" s="27">
        <f t="shared" si="1"/>
        <v>0</v>
      </c>
    </row>
    <row r="14" spans="1:17" x14ac:dyDescent="0.15">
      <c r="A14" s="23" t="s">
        <v>24</v>
      </c>
      <c r="B14" s="15"/>
      <c r="G14" s="28">
        <f t="shared" si="2"/>
        <v>10</v>
      </c>
      <c r="H14" s="28" t="str">
        <f>IF(G14&lt;&gt;"",'NE PAS TOUCHER  Calcul'!$BB26,"")</f>
        <v>Liste 1</v>
      </c>
      <c r="I14" s="28" t="str">
        <f t="shared" si="3"/>
        <v>F</v>
      </c>
      <c r="K14" s="28" t="str">
        <f t="shared" si="4"/>
        <v/>
      </c>
      <c r="L14" s="28" t="str">
        <f>IF(K14&lt;&gt;"",'NE PAS TOUCHER  Calcul'!$BB26,"")</f>
        <v/>
      </c>
      <c r="M14" s="28" t="str">
        <f t="shared" si="5"/>
        <v/>
      </c>
      <c r="O14" s="25" t="str">
        <v>Liste 11</v>
      </c>
      <c r="P14" s="26">
        <f t="shared" si="0"/>
        <v>0</v>
      </c>
      <c r="Q14" s="27">
        <f t="shared" si="1"/>
        <v>0</v>
      </c>
    </row>
    <row r="15" spans="1:17" x14ac:dyDescent="0.15">
      <c r="A15" s="23" t="s">
        <v>25</v>
      </c>
      <c r="B15" s="15"/>
      <c r="G15" s="28">
        <f t="shared" si="2"/>
        <v>11</v>
      </c>
      <c r="H15" s="28" t="str">
        <f>IF(G15&lt;&gt;"",'NE PAS TOUCHER  Calcul'!$BB27,"")</f>
        <v>Liste 2</v>
      </c>
      <c r="I15" s="28" t="str">
        <f t="shared" si="3"/>
        <v>H</v>
      </c>
      <c r="K15" s="28" t="str">
        <f t="shared" si="4"/>
        <v/>
      </c>
      <c r="L15" s="28" t="str">
        <f>IF(K15&lt;&gt;"",'NE PAS TOUCHER  Calcul'!$BB27,"")</f>
        <v/>
      </c>
      <c r="M15" s="28" t="str">
        <f t="shared" si="5"/>
        <v/>
      </c>
      <c r="O15" s="25" t="str">
        <v>Liste 12</v>
      </c>
      <c r="P15" s="26">
        <f t="shared" si="0"/>
        <v>0</v>
      </c>
      <c r="Q15" s="27">
        <f t="shared" si="1"/>
        <v>0</v>
      </c>
    </row>
    <row r="16" spans="1:17" x14ac:dyDescent="0.15">
      <c r="A16" s="23" t="s">
        <v>26</v>
      </c>
      <c r="B16" s="15"/>
      <c r="G16" s="28">
        <f t="shared" si="2"/>
        <v>12</v>
      </c>
      <c r="H16" s="28" t="str">
        <f>IF(G16&lt;&gt;"",'NE PAS TOUCHER  Calcul'!$BB28,"")</f>
        <v>Liste 1</v>
      </c>
      <c r="I16" s="28" t="str">
        <f t="shared" si="3"/>
        <v>F</v>
      </c>
      <c r="K16" s="28" t="str">
        <f t="shared" si="4"/>
        <v/>
      </c>
      <c r="L16" s="28" t="str">
        <f>IF(K16&lt;&gt;"",'NE PAS TOUCHER  Calcul'!$BB28,"")</f>
        <v/>
      </c>
      <c r="M16" s="28" t="str">
        <f t="shared" si="5"/>
        <v/>
      </c>
      <c r="O16" s="25" t="str">
        <v>Liste 13</v>
      </c>
      <c r="P16" s="26">
        <f t="shared" si="0"/>
        <v>0</v>
      </c>
      <c r="Q16" s="27">
        <f t="shared" si="1"/>
        <v>0</v>
      </c>
    </row>
    <row r="17" spans="1:17" x14ac:dyDescent="0.15">
      <c r="A17" s="23" t="s">
        <v>27</v>
      </c>
      <c r="B17" s="15"/>
      <c r="G17" s="28">
        <f t="shared" si="2"/>
        <v>13</v>
      </c>
      <c r="H17" s="28" t="str">
        <f>IF(G17&lt;&gt;"",'NE PAS TOUCHER  Calcul'!$BB29,"")</f>
        <v>Liste 2</v>
      </c>
      <c r="I17" s="28" t="str">
        <f t="shared" si="3"/>
        <v>H</v>
      </c>
      <c r="K17" s="28" t="str">
        <f t="shared" si="4"/>
        <v/>
      </c>
      <c r="L17" s="28" t="str">
        <f>IF(K17&lt;&gt;"",'NE PAS TOUCHER  Calcul'!$BB29,"")</f>
        <v/>
      </c>
      <c r="M17" s="28" t="str">
        <f t="shared" si="5"/>
        <v/>
      </c>
      <c r="O17" s="25" t="str">
        <v>Liste 14</v>
      </c>
      <c r="P17" s="26">
        <f t="shared" si="0"/>
        <v>0</v>
      </c>
      <c r="Q17" s="27">
        <f t="shared" si="1"/>
        <v>0</v>
      </c>
    </row>
    <row r="18" spans="1:17" x14ac:dyDescent="0.15">
      <c r="A18" s="23" t="s">
        <v>28</v>
      </c>
      <c r="B18" s="15"/>
      <c r="G18" s="28">
        <f t="shared" si="2"/>
        <v>14</v>
      </c>
      <c r="H18" s="28" t="str">
        <f>IF(G18&lt;&gt;"",'NE PAS TOUCHER  Calcul'!$BB30,"")</f>
        <v>Liste 2</v>
      </c>
      <c r="I18" s="28" t="str">
        <f t="shared" si="3"/>
        <v>F</v>
      </c>
      <c r="K18" s="28" t="str">
        <f t="shared" si="4"/>
        <v/>
      </c>
      <c r="L18" s="28" t="str">
        <f>IF(K18&lt;&gt;"",'NE PAS TOUCHER  Calcul'!$BB30,"")</f>
        <v/>
      </c>
      <c r="M18" s="28" t="str">
        <f t="shared" si="5"/>
        <v/>
      </c>
      <c r="O18" s="25" t="str">
        <v>Liste 15</v>
      </c>
      <c r="P18" s="26">
        <f t="shared" si="0"/>
        <v>0</v>
      </c>
      <c r="Q18" s="27">
        <f t="shared" si="1"/>
        <v>0</v>
      </c>
    </row>
    <row r="19" spans="1:17" x14ac:dyDescent="0.15">
      <c r="A19" s="23" t="s">
        <v>29</v>
      </c>
      <c r="B19" s="15"/>
      <c r="G19" s="28">
        <f t="shared" si="2"/>
        <v>15</v>
      </c>
      <c r="H19" s="28" t="str">
        <f>IF(G19&lt;&gt;"",'NE PAS TOUCHER  Calcul'!$BB31,"")</f>
        <v>Liste 1</v>
      </c>
      <c r="I19" s="28" t="str">
        <f t="shared" si="3"/>
        <v>H</v>
      </c>
      <c r="K19" s="28" t="str">
        <f t="shared" si="4"/>
        <v/>
      </c>
      <c r="L19" s="28" t="str">
        <f>IF(K19&lt;&gt;"",'NE PAS TOUCHER  Calcul'!$BB31,"")</f>
        <v/>
      </c>
      <c r="M19" s="28" t="str">
        <f t="shared" si="5"/>
        <v/>
      </c>
      <c r="O19" s="25" t="str">
        <v>Liste 16</v>
      </c>
      <c r="P19" s="26">
        <f t="shared" si="0"/>
        <v>0</v>
      </c>
      <c r="Q19" s="27">
        <f t="shared" si="1"/>
        <v>0</v>
      </c>
    </row>
    <row r="20" spans="1:17" x14ac:dyDescent="0.15">
      <c r="A20" s="30" t="s">
        <v>30</v>
      </c>
      <c r="B20" s="31"/>
      <c r="G20" s="28">
        <f t="shared" si="2"/>
        <v>16</v>
      </c>
      <c r="H20" s="28" t="str">
        <f>IF(G20&lt;&gt;"",'NE PAS TOUCHER  Calcul'!$BB32,"")</f>
        <v>Liste 2</v>
      </c>
      <c r="I20" s="28" t="str">
        <f t="shared" si="3"/>
        <v>F</v>
      </c>
      <c r="K20" s="28" t="str">
        <f t="shared" si="4"/>
        <v/>
      </c>
      <c r="L20" s="28" t="str">
        <f>IF(K20&lt;&gt;"",'NE PAS TOUCHER  Calcul'!$BB32,"")</f>
        <v/>
      </c>
      <c r="M20" s="28" t="str">
        <f t="shared" si="5"/>
        <v/>
      </c>
      <c r="O20" s="32" t="str">
        <v>Liste 17</v>
      </c>
      <c r="P20" s="33">
        <f t="shared" si="0"/>
        <v>0</v>
      </c>
      <c r="Q20" s="34">
        <f t="shared" si="1"/>
        <v>0</v>
      </c>
    </row>
    <row r="21" spans="1:17" ht="16" x14ac:dyDescent="0.2">
      <c r="A21" s="35" t="s">
        <v>31</v>
      </c>
      <c r="B21" s="36">
        <f>SUM(B4:B20)</f>
        <v>41</v>
      </c>
      <c r="G21" s="28">
        <f t="shared" si="2"/>
        <v>17</v>
      </c>
      <c r="H21" s="28" t="str">
        <f>IF(G21&lt;&gt;"",'NE PAS TOUCHER  Calcul'!$BB33,"")</f>
        <v>Liste 1</v>
      </c>
      <c r="I21" s="28" t="str">
        <f t="shared" si="3"/>
        <v>H</v>
      </c>
      <c r="K21" s="28" t="str">
        <f t="shared" si="4"/>
        <v/>
      </c>
      <c r="L21" s="28" t="str">
        <f>IF(K21&lt;&gt;"",'NE PAS TOUCHER  Calcul'!$BB33,"")</f>
        <v/>
      </c>
      <c r="M21" s="28" t="str">
        <f t="shared" si="5"/>
        <v/>
      </c>
      <c r="O21" s="35" t="s">
        <v>31</v>
      </c>
      <c r="P21" s="35">
        <f>SUM(P4:P20)</f>
        <v>43</v>
      </c>
      <c r="Q21" s="36">
        <f t="shared" ref="P21:Q21" si="6">SUM(Q4:Q20)</f>
        <v>2</v>
      </c>
    </row>
    <row r="22" spans="1:17" x14ac:dyDescent="0.15">
      <c r="G22" s="28">
        <f t="shared" si="2"/>
        <v>18</v>
      </c>
      <c r="H22" s="28" t="str">
        <f>IF(G22&lt;&gt;"",'NE PAS TOUCHER  Calcul'!$BB34,"")</f>
        <v>Liste 2</v>
      </c>
      <c r="I22" s="28" t="str">
        <f t="shared" si="3"/>
        <v>F</v>
      </c>
      <c r="K22" s="28" t="str">
        <f t="shared" si="4"/>
        <v/>
      </c>
      <c r="L22" s="28" t="str">
        <f>IF(K22&lt;&gt;"",'NE PAS TOUCHER  Calcul'!$BB34,"")</f>
        <v/>
      </c>
      <c r="M22" s="28" t="str">
        <f t="shared" si="5"/>
        <v/>
      </c>
    </row>
    <row r="23" spans="1:17" x14ac:dyDescent="0.15">
      <c r="G23" s="28">
        <f t="shared" si="2"/>
        <v>19</v>
      </c>
      <c r="H23" s="28" t="str">
        <f>IF(G23&lt;&gt;"",'NE PAS TOUCHER  Calcul'!$BB35,"")</f>
        <v>Liste 1</v>
      </c>
      <c r="I23" s="28" t="str">
        <f t="shared" si="3"/>
        <v>H</v>
      </c>
      <c r="K23" s="28" t="str">
        <f t="shared" si="4"/>
        <v/>
      </c>
      <c r="L23" s="28" t="str">
        <f>IF(K23&lt;&gt;"",'NE PAS TOUCHER  Calcul'!$BB35,"")</f>
        <v/>
      </c>
      <c r="M23" s="28" t="str">
        <f t="shared" si="5"/>
        <v/>
      </c>
    </row>
    <row r="24" spans="1:17" x14ac:dyDescent="0.15">
      <c r="G24" s="28">
        <f t="shared" si="2"/>
        <v>20</v>
      </c>
      <c r="H24" s="28" t="str">
        <f>IF(G24&lt;&gt;"",'NE PAS TOUCHER  Calcul'!$BB36,"")</f>
        <v>Liste 2</v>
      </c>
      <c r="I24" s="28" t="str">
        <f t="shared" si="3"/>
        <v>F</v>
      </c>
      <c r="K24" s="28" t="str">
        <f t="shared" si="4"/>
        <v/>
      </c>
      <c r="L24" s="28" t="str">
        <f>IF(K24&lt;&gt;"",'NE PAS TOUCHER  Calcul'!$BB36,"")</f>
        <v/>
      </c>
      <c r="M24" s="28" t="str">
        <f t="shared" si="5"/>
        <v/>
      </c>
    </row>
    <row r="25" spans="1:17" x14ac:dyDescent="0.15">
      <c r="G25" s="28">
        <f t="shared" si="2"/>
        <v>21</v>
      </c>
      <c r="H25" s="28" t="str">
        <f>IF(G25&lt;&gt;"",'NE PAS TOUCHER  Calcul'!$BB37,"")</f>
        <v>Liste 1</v>
      </c>
      <c r="I25" s="28" t="str">
        <f t="shared" si="3"/>
        <v>H</v>
      </c>
      <c r="K25" s="28" t="str">
        <f t="shared" si="4"/>
        <v/>
      </c>
      <c r="L25" s="28" t="str">
        <f>IF(K25&lt;&gt;"",'NE PAS TOUCHER  Calcul'!$BB37,"")</f>
        <v/>
      </c>
      <c r="M25" s="28" t="str">
        <f t="shared" si="5"/>
        <v/>
      </c>
    </row>
    <row r="26" spans="1:17" x14ac:dyDescent="0.15">
      <c r="G26" s="28">
        <f t="shared" si="2"/>
        <v>22</v>
      </c>
      <c r="H26" s="28" t="str">
        <f>IF(G26&lt;&gt;"",'NE PAS TOUCHER  Calcul'!$BB38,"")</f>
        <v>Liste 2</v>
      </c>
      <c r="I26" s="28" t="str">
        <f t="shared" si="3"/>
        <v>F</v>
      </c>
      <c r="K26" s="28" t="str">
        <f t="shared" si="4"/>
        <v/>
      </c>
      <c r="L26" s="28" t="str">
        <f>IF(K26&lt;&gt;"",'NE PAS TOUCHER  Calcul'!$BB38,"")</f>
        <v/>
      </c>
      <c r="M26" s="28" t="str">
        <f t="shared" si="5"/>
        <v/>
      </c>
    </row>
    <row r="27" spans="1:17" x14ac:dyDescent="0.15">
      <c r="G27" s="28">
        <f t="shared" si="2"/>
        <v>23</v>
      </c>
      <c r="H27" s="28" t="str">
        <f>IF(G27&lt;&gt;"",'NE PAS TOUCHER  Calcul'!$BB39,"")</f>
        <v>Liste 1</v>
      </c>
      <c r="I27" s="28" t="str">
        <f t="shared" si="3"/>
        <v>H</v>
      </c>
      <c r="K27" s="28" t="str">
        <f t="shared" si="4"/>
        <v/>
      </c>
      <c r="L27" s="28" t="str">
        <f>IF(K27&lt;&gt;"",'NE PAS TOUCHER  Calcul'!$BB39,"")</f>
        <v/>
      </c>
      <c r="M27" s="28" t="str">
        <f t="shared" si="5"/>
        <v/>
      </c>
    </row>
    <row r="28" spans="1:17" x14ac:dyDescent="0.15">
      <c r="G28" s="28">
        <f t="shared" si="2"/>
        <v>24</v>
      </c>
      <c r="H28" s="28" t="str">
        <f>IF(G28&lt;&gt;"",'NE PAS TOUCHER  Calcul'!$BB40,"")</f>
        <v>Liste 2</v>
      </c>
      <c r="I28" s="28" t="str">
        <f t="shared" si="3"/>
        <v>F</v>
      </c>
      <c r="K28" s="28" t="str">
        <f t="shared" si="4"/>
        <v/>
      </c>
      <c r="L28" s="28" t="str">
        <f>IF(K28&lt;&gt;"",'NE PAS TOUCHER  Calcul'!$BB40,"")</f>
        <v/>
      </c>
      <c r="M28" s="28" t="str">
        <f t="shared" si="5"/>
        <v/>
      </c>
    </row>
    <row r="29" spans="1:17" x14ac:dyDescent="0.15">
      <c r="G29" s="28">
        <f t="shared" si="2"/>
        <v>25</v>
      </c>
      <c r="H29" s="28" t="str">
        <f>IF(G29&lt;&gt;"",'NE PAS TOUCHER  Calcul'!$BB41,"")</f>
        <v>Liste 1</v>
      </c>
      <c r="I29" s="28" t="str">
        <f t="shared" si="3"/>
        <v>H</v>
      </c>
      <c r="K29" s="28" t="str">
        <f t="shared" si="4"/>
        <v/>
      </c>
      <c r="L29" s="28" t="str">
        <f>IF(K29&lt;&gt;"",'NE PAS TOUCHER  Calcul'!$BB41,"")</f>
        <v/>
      </c>
      <c r="M29" s="28" t="str">
        <f t="shared" si="5"/>
        <v/>
      </c>
    </row>
    <row r="30" spans="1:17" x14ac:dyDescent="0.15">
      <c r="G30" s="28">
        <f t="shared" si="2"/>
        <v>26</v>
      </c>
      <c r="H30" s="28" t="str">
        <f>IF(G30&lt;&gt;"",'NE PAS TOUCHER  Calcul'!$BB42,"")</f>
        <v>Liste 2</v>
      </c>
      <c r="I30" s="28" t="str">
        <f t="shared" si="3"/>
        <v>F</v>
      </c>
      <c r="K30" s="28" t="str">
        <f t="shared" si="4"/>
        <v/>
      </c>
      <c r="L30" s="28" t="str">
        <f>IF(K30&lt;&gt;"",'NE PAS TOUCHER  Calcul'!$BB42,"")</f>
        <v/>
      </c>
      <c r="M30" s="28" t="str">
        <f t="shared" si="5"/>
        <v/>
      </c>
    </row>
    <row r="31" spans="1:17" x14ac:dyDescent="0.15">
      <c r="G31" s="28">
        <f t="shared" si="2"/>
        <v>27</v>
      </c>
      <c r="H31" s="28" t="str">
        <f>IF(G31&lt;&gt;"",'NE PAS TOUCHER  Calcul'!$BB43,"")</f>
        <v>Liste 2</v>
      </c>
      <c r="I31" s="28" t="str">
        <f t="shared" si="3"/>
        <v>H</v>
      </c>
      <c r="K31" s="28" t="str">
        <f t="shared" si="4"/>
        <v/>
      </c>
      <c r="L31" s="28" t="str">
        <f>IF(K31&lt;&gt;"",'NE PAS TOUCHER  Calcul'!$BB43,"")</f>
        <v/>
      </c>
      <c r="M31" s="28" t="str">
        <f t="shared" si="5"/>
        <v/>
      </c>
    </row>
    <row r="32" spans="1:17" x14ac:dyDescent="0.15">
      <c r="G32" s="28">
        <f t="shared" si="2"/>
        <v>28</v>
      </c>
      <c r="H32" s="28" t="str">
        <f>IF(G32&lt;&gt;"",'NE PAS TOUCHER  Calcul'!$BB44,"")</f>
        <v>Liste 1</v>
      </c>
      <c r="I32" s="28" t="str">
        <f t="shared" si="3"/>
        <v>F</v>
      </c>
      <c r="K32" s="28" t="str">
        <f t="shared" si="4"/>
        <v/>
      </c>
      <c r="L32" s="28" t="str">
        <f>IF(K32&lt;&gt;"",'NE PAS TOUCHER  Calcul'!$BB44,"")</f>
        <v/>
      </c>
      <c r="M32" s="28" t="str">
        <f t="shared" si="5"/>
        <v/>
      </c>
    </row>
    <row r="33" spans="7:13" x14ac:dyDescent="0.15">
      <c r="G33" s="28">
        <f t="shared" si="2"/>
        <v>29</v>
      </c>
      <c r="H33" s="28" t="str">
        <f>IF(G33&lt;&gt;"",'NE PAS TOUCHER  Calcul'!$BB45,"")</f>
        <v>Liste 2</v>
      </c>
      <c r="I33" s="28" t="str">
        <f t="shared" si="3"/>
        <v>H</v>
      </c>
      <c r="K33" s="28" t="str">
        <f t="shared" si="4"/>
        <v/>
      </c>
      <c r="L33" s="28" t="str">
        <f>IF(K33&lt;&gt;"",'NE PAS TOUCHER  Calcul'!$BB45,"")</f>
        <v/>
      </c>
      <c r="M33" s="28" t="str">
        <f t="shared" si="5"/>
        <v/>
      </c>
    </row>
    <row r="34" spans="7:13" x14ac:dyDescent="0.15">
      <c r="G34" s="28">
        <f t="shared" si="2"/>
        <v>30</v>
      </c>
      <c r="H34" s="28" t="str">
        <f>IF(G34&lt;&gt;"",'NE PAS TOUCHER  Calcul'!$BB46,"")</f>
        <v>Liste 1</v>
      </c>
      <c r="I34" s="28" t="str">
        <f t="shared" si="3"/>
        <v>F</v>
      </c>
      <c r="K34" s="28" t="str">
        <f t="shared" si="4"/>
        <v/>
      </c>
      <c r="L34" s="28" t="str">
        <f>IF(K34&lt;&gt;"",'NE PAS TOUCHER  Calcul'!$BB46,"")</f>
        <v/>
      </c>
      <c r="M34" s="28" t="str">
        <f t="shared" si="5"/>
        <v/>
      </c>
    </row>
    <row r="35" spans="7:13" x14ac:dyDescent="0.15">
      <c r="G35" s="28">
        <f t="shared" si="2"/>
        <v>31</v>
      </c>
      <c r="H35" s="28" t="str">
        <f>IF(G35&lt;&gt;"",'NE PAS TOUCHER  Calcul'!$BB47,"")</f>
        <v>Liste 2</v>
      </c>
      <c r="I35" s="28" t="str">
        <f t="shared" si="3"/>
        <v>H</v>
      </c>
      <c r="K35" s="28" t="str">
        <f t="shared" si="4"/>
        <v/>
      </c>
      <c r="L35" s="28" t="str">
        <f>IF(K35&lt;&gt;"",'NE PAS TOUCHER  Calcul'!$BB47,"")</f>
        <v/>
      </c>
      <c r="M35" s="28" t="str">
        <f t="shared" si="5"/>
        <v/>
      </c>
    </row>
    <row r="36" spans="7:13" x14ac:dyDescent="0.15">
      <c r="G36" s="28">
        <f t="shared" si="2"/>
        <v>32</v>
      </c>
      <c r="H36" s="28" t="str">
        <f>IF(G36&lt;&gt;"",'NE PAS TOUCHER  Calcul'!$BB48,"")</f>
        <v>Liste 1</v>
      </c>
      <c r="I36" s="28" t="str">
        <f t="shared" si="3"/>
        <v>F</v>
      </c>
      <c r="K36" s="28" t="str">
        <f t="shared" si="4"/>
        <v/>
      </c>
      <c r="L36" s="28" t="str">
        <f>IF(K36&lt;&gt;"",'NE PAS TOUCHER  Calcul'!$BB48,"")</f>
        <v/>
      </c>
      <c r="M36" s="28" t="str">
        <f t="shared" si="5"/>
        <v/>
      </c>
    </row>
    <row r="37" spans="7:13" x14ac:dyDescent="0.15">
      <c r="G37" s="28">
        <f t="shared" si="2"/>
        <v>33</v>
      </c>
      <c r="H37" s="28" t="str">
        <f>IF(G37&lt;&gt;"",'NE PAS TOUCHER  Calcul'!$BB49,"")</f>
        <v>Liste 2</v>
      </c>
      <c r="I37" s="28" t="str">
        <f t="shared" si="3"/>
        <v>H</v>
      </c>
      <c r="K37" s="28" t="str">
        <f t="shared" si="4"/>
        <v/>
      </c>
      <c r="L37" s="28" t="str">
        <f>IF(K37&lt;&gt;"",'NE PAS TOUCHER  Calcul'!$BB49,"")</f>
        <v/>
      </c>
      <c r="M37" s="28" t="str">
        <f t="shared" si="5"/>
        <v/>
      </c>
    </row>
    <row r="38" spans="7:13" x14ac:dyDescent="0.15">
      <c r="G38" s="28">
        <f t="shared" si="2"/>
        <v>34</v>
      </c>
      <c r="H38" s="28" t="str">
        <f>IF(G38&lt;&gt;"",'NE PAS TOUCHER  Calcul'!$BB50,"")</f>
        <v>Liste 1</v>
      </c>
      <c r="I38" s="28" t="str">
        <f t="shared" si="3"/>
        <v>F</v>
      </c>
      <c r="K38" s="28" t="str">
        <f t="shared" si="4"/>
        <v/>
      </c>
      <c r="L38" s="28" t="str">
        <f>IF(K38&lt;&gt;"",'NE PAS TOUCHER  Calcul'!$BB50,"")</f>
        <v/>
      </c>
      <c r="M38" s="28" t="str">
        <f t="shared" si="5"/>
        <v/>
      </c>
    </row>
    <row r="39" spans="7:13" x14ac:dyDescent="0.15">
      <c r="G39" s="28">
        <f t="shared" si="2"/>
        <v>35</v>
      </c>
      <c r="H39" s="28" t="str">
        <f>IF(G39&lt;&gt;"",'NE PAS TOUCHER  Calcul'!$BB51,"")</f>
        <v>Liste 2</v>
      </c>
      <c r="I39" s="28" t="str">
        <f t="shared" si="3"/>
        <v>H</v>
      </c>
      <c r="K39" s="28" t="str">
        <f t="shared" si="4"/>
        <v/>
      </c>
      <c r="L39" s="28" t="str">
        <f>IF(K39&lt;&gt;"",'NE PAS TOUCHER  Calcul'!$BB51,"")</f>
        <v/>
      </c>
      <c r="M39" s="28" t="str">
        <f t="shared" si="5"/>
        <v/>
      </c>
    </row>
    <row r="40" spans="7:13" x14ac:dyDescent="0.15">
      <c r="G40" s="28">
        <f t="shared" si="2"/>
        <v>36</v>
      </c>
      <c r="H40" s="28" t="str">
        <f>IF(G40&lt;&gt;"",'NE PAS TOUCHER  Calcul'!$BB52,"")</f>
        <v>Liste 1</v>
      </c>
      <c r="I40" s="28" t="str">
        <f t="shared" si="3"/>
        <v>F</v>
      </c>
      <c r="K40" s="28" t="str">
        <f t="shared" si="4"/>
        <v/>
      </c>
      <c r="L40" s="28" t="str">
        <f>IF(K40&lt;&gt;"",'NE PAS TOUCHER  Calcul'!$BB52,"")</f>
        <v/>
      </c>
      <c r="M40" s="28" t="str">
        <f t="shared" si="5"/>
        <v/>
      </c>
    </row>
    <row r="41" spans="7:13" x14ac:dyDescent="0.15">
      <c r="G41" s="28">
        <f t="shared" si="2"/>
        <v>37</v>
      </c>
      <c r="H41" s="28" t="str">
        <f>IF(G41&lt;&gt;"",'NE PAS TOUCHER  Calcul'!$BB53,"")</f>
        <v>Liste 2</v>
      </c>
      <c r="I41" s="28" t="str">
        <f t="shared" si="3"/>
        <v>H</v>
      </c>
      <c r="K41" s="28" t="str">
        <f t="shared" si="4"/>
        <v/>
      </c>
      <c r="L41" s="28" t="str">
        <f>IF(K41&lt;&gt;"",'NE PAS TOUCHER  Calcul'!$BB53,"")</f>
        <v/>
      </c>
      <c r="M41" s="28" t="str">
        <f t="shared" si="5"/>
        <v/>
      </c>
    </row>
    <row r="42" spans="7:13" x14ac:dyDescent="0.15">
      <c r="G42" s="28">
        <f t="shared" si="2"/>
        <v>38</v>
      </c>
      <c r="H42" s="28" t="str">
        <f>IF(G42&lt;&gt;"",'NE PAS TOUCHER  Calcul'!$BB54,"")</f>
        <v>Liste 1</v>
      </c>
      <c r="I42" s="28" t="str">
        <f t="shared" si="3"/>
        <v>F</v>
      </c>
      <c r="K42" s="28" t="str">
        <f t="shared" si="4"/>
        <v/>
      </c>
      <c r="L42" s="28" t="str">
        <f>IF(K42&lt;&gt;"",'NE PAS TOUCHER  Calcul'!$BB54,"")</f>
        <v/>
      </c>
      <c r="M42" s="28" t="str">
        <f t="shared" si="5"/>
        <v/>
      </c>
    </row>
    <row r="43" spans="7:13" x14ac:dyDescent="0.15">
      <c r="G43" s="28">
        <f t="shared" si="2"/>
        <v>39</v>
      </c>
      <c r="H43" s="28" t="str">
        <f>IF(G43&lt;&gt;"",'NE PAS TOUCHER  Calcul'!$BB55,"")</f>
        <v>Liste 2</v>
      </c>
      <c r="I43" s="28" t="str">
        <f t="shared" si="3"/>
        <v>H</v>
      </c>
      <c r="K43" s="28" t="str">
        <f t="shared" si="4"/>
        <v/>
      </c>
      <c r="L43" s="28" t="str">
        <f>IF(K43&lt;&gt;"",'NE PAS TOUCHER  Calcul'!$BB55,"")</f>
        <v/>
      </c>
      <c r="M43" s="28" t="str">
        <f t="shared" si="5"/>
        <v/>
      </c>
    </row>
    <row r="44" spans="7:13" x14ac:dyDescent="0.15">
      <c r="G44" s="28">
        <f t="shared" si="2"/>
        <v>40</v>
      </c>
      <c r="H44" s="28" t="str">
        <f>IF(G44&lt;&gt;"",'NE PAS TOUCHER  Calcul'!$BB56,"")</f>
        <v>Liste 1</v>
      </c>
      <c r="I44" s="28" t="str">
        <f t="shared" si="3"/>
        <v>F</v>
      </c>
      <c r="K44" s="28" t="str">
        <f t="shared" si="4"/>
        <v/>
      </c>
      <c r="L44" s="28" t="str">
        <f>IF(K44&lt;&gt;"",'NE PAS TOUCHER  Calcul'!$BB56,"")</f>
        <v/>
      </c>
      <c r="M44" s="28" t="str">
        <f t="shared" si="5"/>
        <v/>
      </c>
    </row>
    <row r="45" spans="7:13" x14ac:dyDescent="0.15">
      <c r="G45" s="28">
        <f t="shared" si="2"/>
        <v>41</v>
      </c>
      <c r="H45" s="28" t="str">
        <f>IF(G45&lt;&gt;"",'NE PAS TOUCHER  Calcul'!$BB57,"")</f>
        <v>Liste 2</v>
      </c>
      <c r="I45" s="28" t="str">
        <f t="shared" si="3"/>
        <v>H</v>
      </c>
      <c r="K45" s="28" t="str">
        <f t="shared" si="4"/>
        <v/>
      </c>
      <c r="L45" s="28" t="str">
        <f>IF(K45&lt;&gt;"",'NE PAS TOUCHER  Calcul'!$BB57,"")</f>
        <v/>
      </c>
      <c r="M45" s="28" t="str">
        <f t="shared" si="5"/>
        <v/>
      </c>
    </row>
    <row r="46" spans="7:13" x14ac:dyDescent="0.15">
      <c r="G46" s="28">
        <f t="shared" si="2"/>
        <v>42</v>
      </c>
      <c r="H46" s="28" t="str">
        <f>IF(G46&lt;&gt;"",'NE PAS TOUCHER  Calcul'!$BB58,"")</f>
        <v>Liste 2</v>
      </c>
      <c r="I46" s="28" t="str">
        <f t="shared" si="3"/>
        <v>F</v>
      </c>
      <c r="K46" s="28" t="str">
        <f t="shared" si="4"/>
        <v/>
      </c>
      <c r="L46" s="28" t="str">
        <f>IF(K46&lt;&gt;"",'NE PAS TOUCHER  Calcul'!$BB58,"")</f>
        <v/>
      </c>
      <c r="M46" s="28" t="str">
        <f t="shared" si="5"/>
        <v/>
      </c>
    </row>
    <row r="47" spans="7:13" x14ac:dyDescent="0.15">
      <c r="G47" s="28">
        <f t="shared" si="2"/>
        <v>43</v>
      </c>
      <c r="H47" s="28" t="str">
        <f>IF(G47&lt;&gt;"",'NE PAS TOUCHER  Calcul'!$BB59,"")</f>
        <v>Liste 1</v>
      </c>
      <c r="I47" s="28" t="str">
        <f t="shared" si="3"/>
        <v>H</v>
      </c>
      <c r="K47" s="28" t="str">
        <f t="shared" si="4"/>
        <v/>
      </c>
      <c r="L47" s="28" t="str">
        <f>IF(K47&lt;&gt;"",'NE PAS TOUCHER  Calcul'!$BB59,"")</f>
        <v/>
      </c>
      <c r="M47" s="28" t="str">
        <f t="shared" si="5"/>
        <v/>
      </c>
    </row>
    <row r="48" spans="7:13" x14ac:dyDescent="0.15">
      <c r="G48" s="28"/>
      <c r="H48" s="28"/>
      <c r="I48" s="28"/>
      <c r="K48" s="28" t="str">
        <f t="shared" si="4"/>
        <v/>
      </c>
      <c r="L48" s="28" t="str">
        <f>IF(K48&lt;&gt;"",'NE PAS TOUCHER  Calcul'!$BB60,"")</f>
        <v/>
      </c>
      <c r="M48" s="28" t="str">
        <f t="shared" si="5"/>
        <v/>
      </c>
    </row>
    <row r="49" spans="7:13" x14ac:dyDescent="0.15">
      <c r="G49" s="28"/>
      <c r="H49" s="28"/>
      <c r="I49" s="28"/>
      <c r="K49" s="28" t="str">
        <f t="shared" si="4"/>
        <v/>
      </c>
      <c r="L49" s="28" t="str">
        <f>IF(K49&lt;&gt;"",'NE PAS TOUCHER  Calcul'!$BB61,"")</f>
        <v/>
      </c>
      <c r="M49" s="28" t="str">
        <f t="shared" si="5"/>
        <v/>
      </c>
    </row>
    <row r="50" spans="7:13" x14ac:dyDescent="0.15">
      <c r="G50" s="28" t="str">
        <f t="shared" si="2"/>
        <v/>
      </c>
      <c r="H50" s="28" t="str">
        <f>IF(G50&lt;&gt;"",'NE PAS TOUCHER  Calcul'!$BB62,"")</f>
        <v/>
      </c>
      <c r="I50" s="28" t="str">
        <f t="shared" si="3"/>
        <v/>
      </c>
      <c r="K50" s="28" t="str">
        <f t="shared" si="4"/>
        <v/>
      </c>
      <c r="L50" s="28" t="str">
        <f>IF(K50&lt;&gt;"",'NE PAS TOUCHER  Calcul'!$BB62,"")</f>
        <v/>
      </c>
      <c r="M50" s="28" t="str">
        <f t="shared" si="5"/>
        <v/>
      </c>
    </row>
    <row r="51" spans="7:13" x14ac:dyDescent="0.15">
      <c r="G51" s="28" t="str">
        <f t="shared" si="2"/>
        <v/>
      </c>
      <c r="H51" s="28" t="str">
        <f>IF(G51&lt;&gt;"",'NE PAS TOUCHER  Calcul'!$BB63,"")</f>
        <v/>
      </c>
      <c r="I51" s="28" t="str">
        <f t="shared" si="3"/>
        <v/>
      </c>
      <c r="K51" s="28" t="str">
        <f t="shared" si="4"/>
        <v/>
      </c>
      <c r="L51" s="28" t="str">
        <f>IF(K51&lt;&gt;"",'NE PAS TOUCHER  Calcul'!$BB63,"")</f>
        <v/>
      </c>
      <c r="M51" s="28" t="str">
        <f t="shared" si="5"/>
        <v/>
      </c>
    </row>
    <row r="52" spans="7:13" x14ac:dyDescent="0.15">
      <c r="G52" s="28" t="str">
        <f t="shared" si="2"/>
        <v/>
      </c>
      <c r="H52" s="28" t="str">
        <f>IF(G52&lt;&gt;"",'NE PAS TOUCHER  Calcul'!$BB64,"")</f>
        <v/>
      </c>
      <c r="I52" s="28" t="str">
        <f t="shared" si="3"/>
        <v/>
      </c>
      <c r="K52" s="28" t="str">
        <f t="shared" si="4"/>
        <v/>
      </c>
      <c r="L52" s="28" t="str">
        <f>IF(K52&lt;&gt;"",'NE PAS TOUCHER  Calcul'!$BB64,"")</f>
        <v/>
      </c>
      <c r="M52" s="28" t="str">
        <f t="shared" si="5"/>
        <v/>
      </c>
    </row>
    <row r="53" spans="7:13" x14ac:dyDescent="0.15">
      <c r="G53" s="28" t="str">
        <f t="shared" si="2"/>
        <v/>
      </c>
      <c r="H53" s="28" t="str">
        <f>IF(G53&lt;&gt;"",'NE PAS TOUCHER  Calcul'!$BB65,"")</f>
        <v/>
      </c>
      <c r="I53" s="28" t="str">
        <f t="shared" si="3"/>
        <v/>
      </c>
      <c r="K53" s="28" t="str">
        <f t="shared" si="4"/>
        <v/>
      </c>
      <c r="L53" s="28" t="str">
        <f>IF(K53&lt;&gt;"",'NE PAS TOUCHER  Calcul'!$BB65,"")</f>
        <v/>
      </c>
      <c r="M53" s="28" t="str">
        <f t="shared" si="5"/>
        <v/>
      </c>
    </row>
    <row r="54" spans="7:13" x14ac:dyDescent="0.15">
      <c r="G54" s="28" t="str">
        <f t="shared" si="2"/>
        <v/>
      </c>
      <c r="H54" s="28" t="str">
        <f>IF(G54&lt;&gt;"",'NE PAS TOUCHER  Calcul'!$BB66,"")</f>
        <v/>
      </c>
      <c r="I54" s="28" t="str">
        <f t="shared" si="3"/>
        <v/>
      </c>
      <c r="K54" s="28" t="str">
        <f t="shared" si="4"/>
        <v/>
      </c>
      <c r="L54" s="28" t="str">
        <f>IF(K54&lt;&gt;"",'NE PAS TOUCHER  Calcul'!$BB66,"")</f>
        <v/>
      </c>
      <c r="M54" s="28" t="str">
        <f t="shared" si="5"/>
        <v/>
      </c>
    </row>
    <row r="55" spans="7:13" x14ac:dyDescent="0.15">
      <c r="G55" s="28" t="str">
        <f t="shared" si="2"/>
        <v/>
      </c>
      <c r="H55" s="28" t="str">
        <f>IF(G55&lt;&gt;"",'NE PAS TOUCHER  Calcul'!$BB67,"")</f>
        <v/>
      </c>
      <c r="I55" s="28" t="str">
        <f t="shared" si="3"/>
        <v/>
      </c>
      <c r="K55" s="28" t="str">
        <f t="shared" si="4"/>
        <v/>
      </c>
      <c r="L55" s="28" t="str">
        <f>IF(K55&lt;&gt;"",'NE PAS TOUCHER  Calcul'!$BB67,"")</f>
        <v/>
      </c>
      <c r="M55" s="28" t="str">
        <f t="shared" si="5"/>
        <v/>
      </c>
    </row>
    <row r="56" spans="7:13" x14ac:dyDescent="0.15">
      <c r="G56" s="28" t="str">
        <f t="shared" si="2"/>
        <v/>
      </c>
      <c r="H56" s="28" t="str">
        <f>IF(G56&lt;&gt;"",'NE PAS TOUCHER  Calcul'!$BB68,"")</f>
        <v/>
      </c>
      <c r="I56" s="28" t="str">
        <f t="shared" si="3"/>
        <v/>
      </c>
      <c r="K56" s="28" t="str">
        <f t="shared" si="4"/>
        <v/>
      </c>
      <c r="L56" s="28" t="str">
        <f>IF(K56&lt;&gt;"",'NE PAS TOUCHER  Calcul'!$BB68,"")</f>
        <v/>
      </c>
      <c r="M56" s="28" t="str">
        <f t="shared" si="5"/>
        <v/>
      </c>
    </row>
    <row r="57" spans="7:13" x14ac:dyDescent="0.15">
      <c r="G57" s="28" t="str">
        <f t="shared" si="2"/>
        <v/>
      </c>
      <c r="H57" s="28" t="str">
        <f>IF(G57&lt;&gt;"",'NE PAS TOUCHER  Calcul'!$BB69,"")</f>
        <v/>
      </c>
      <c r="I57" s="28" t="str">
        <f t="shared" si="3"/>
        <v/>
      </c>
      <c r="K57" s="28" t="str">
        <f t="shared" si="4"/>
        <v/>
      </c>
      <c r="L57" s="28" t="str">
        <f>IF(K57&lt;&gt;"",'NE PAS TOUCHER  Calcul'!$BB69,"")</f>
        <v/>
      </c>
      <c r="M57" s="28" t="str">
        <f t="shared" si="5"/>
        <v/>
      </c>
    </row>
    <row r="58" spans="7:13" x14ac:dyDescent="0.15">
      <c r="G58" s="28" t="str">
        <f t="shared" si="2"/>
        <v/>
      </c>
      <c r="H58" s="28" t="str">
        <f>IF(G58&lt;&gt;"",'NE PAS TOUCHER  Calcul'!$BB70,"")</f>
        <v/>
      </c>
      <c r="I58" s="28" t="str">
        <f t="shared" si="3"/>
        <v/>
      </c>
      <c r="K58" s="28" t="str">
        <f t="shared" si="4"/>
        <v/>
      </c>
      <c r="L58" s="28" t="str">
        <f>IF(K58&lt;&gt;"",'NE PAS TOUCHER  Calcul'!$BB70,"")</f>
        <v/>
      </c>
      <c r="M58" s="28" t="str">
        <f t="shared" si="5"/>
        <v/>
      </c>
    </row>
    <row r="59" spans="7:13" x14ac:dyDescent="0.15">
      <c r="G59" s="28" t="str">
        <f t="shared" si="2"/>
        <v/>
      </c>
      <c r="H59" s="28" t="str">
        <f>IF(G59&lt;&gt;"",'NE PAS TOUCHER  Calcul'!$BB71,"")</f>
        <v/>
      </c>
      <c r="I59" s="28" t="str">
        <f t="shared" si="3"/>
        <v/>
      </c>
      <c r="K59" s="28" t="str">
        <f t="shared" si="4"/>
        <v/>
      </c>
      <c r="L59" s="28" t="str">
        <f>IF(K59&lt;&gt;"",'NE PAS TOUCHER  Calcul'!$BB71,"")</f>
        <v/>
      </c>
      <c r="M59" s="28" t="str">
        <f t="shared" si="5"/>
        <v/>
      </c>
    </row>
    <row r="60" spans="7:13" x14ac:dyDescent="0.15">
      <c r="G60" s="28" t="str">
        <f t="shared" si="2"/>
        <v/>
      </c>
      <c r="H60" s="28" t="str">
        <f>IF(G60&lt;&gt;"",'NE PAS TOUCHER  Calcul'!$BB72,"")</f>
        <v/>
      </c>
      <c r="I60" s="28" t="str">
        <f t="shared" si="3"/>
        <v/>
      </c>
      <c r="K60" s="28" t="str">
        <f t="shared" si="4"/>
        <v/>
      </c>
      <c r="L60" s="28" t="str">
        <f>IF(K60&lt;&gt;"",'NE PAS TOUCHER  Calcul'!$BB72,"")</f>
        <v/>
      </c>
      <c r="M60" s="28" t="str">
        <f t="shared" si="5"/>
        <v/>
      </c>
    </row>
    <row r="61" spans="7:13" x14ac:dyDescent="0.15">
      <c r="G61" s="28" t="str">
        <f t="shared" si="2"/>
        <v/>
      </c>
      <c r="H61" s="28" t="str">
        <f>IF(G61&lt;&gt;"",'NE PAS TOUCHER  Calcul'!$BB73,"")</f>
        <v/>
      </c>
      <c r="I61" s="28" t="str">
        <f t="shared" si="3"/>
        <v/>
      </c>
      <c r="K61" s="28" t="str">
        <f t="shared" si="4"/>
        <v/>
      </c>
      <c r="L61" s="28" t="str">
        <f>IF(K61&lt;&gt;"",'NE PAS TOUCHER  Calcul'!$BB73,"")</f>
        <v/>
      </c>
      <c r="M61" s="28" t="str">
        <f t="shared" si="5"/>
        <v/>
      </c>
    </row>
    <row r="62" spans="7:13" x14ac:dyDescent="0.15">
      <c r="G62" s="28" t="str">
        <f t="shared" si="2"/>
        <v/>
      </c>
      <c r="H62" s="28" t="str">
        <f>IF(G62&lt;&gt;"",'NE PAS TOUCHER  Calcul'!$BB74,"")</f>
        <v/>
      </c>
      <c r="I62" s="28" t="str">
        <f t="shared" si="3"/>
        <v/>
      </c>
      <c r="K62" s="28" t="str">
        <f t="shared" si="4"/>
        <v/>
      </c>
      <c r="L62" s="28" t="str">
        <f>IF(K62&lt;&gt;"",'NE PAS TOUCHER  Calcul'!$BB74,"")</f>
        <v/>
      </c>
      <c r="M62" s="28" t="str">
        <f t="shared" si="5"/>
        <v/>
      </c>
    </row>
    <row r="63" spans="7:13" x14ac:dyDescent="0.15">
      <c r="G63" s="28" t="str">
        <f t="shared" si="2"/>
        <v/>
      </c>
      <c r="H63" s="28" t="str">
        <f>IF(G63&lt;&gt;"",'NE PAS TOUCHER  Calcul'!$BB75,"")</f>
        <v/>
      </c>
      <c r="I63" s="28" t="str">
        <f t="shared" si="3"/>
        <v/>
      </c>
      <c r="K63" s="28" t="str">
        <f t="shared" si="4"/>
        <v/>
      </c>
      <c r="L63" s="28" t="str">
        <f>IF(K63&lt;&gt;"",'NE PAS TOUCHER  Calcul'!$BB75,"")</f>
        <v/>
      </c>
      <c r="M63" s="28" t="str">
        <f t="shared" si="5"/>
        <v/>
      </c>
    </row>
    <row r="64" spans="7:13" x14ac:dyDescent="0.15">
      <c r="G64" s="28" t="str">
        <f t="shared" si="2"/>
        <v/>
      </c>
      <c r="H64" s="28" t="str">
        <f>IF(G64&lt;&gt;"",'NE PAS TOUCHER  Calcul'!$BB76,"")</f>
        <v/>
      </c>
      <c r="I64" s="28" t="str">
        <f t="shared" si="3"/>
        <v/>
      </c>
      <c r="K64" s="28" t="str">
        <f t="shared" si="4"/>
        <v/>
      </c>
      <c r="L64" s="28" t="str">
        <f>IF(K64&lt;&gt;"",'NE PAS TOUCHER  Calcul'!$BB76,"")</f>
        <v/>
      </c>
      <c r="M64" s="28" t="str">
        <f t="shared" si="5"/>
        <v/>
      </c>
    </row>
    <row r="65" spans="7:9" x14ac:dyDescent="0.15">
      <c r="G65" s="28" t="str">
        <f t="shared" si="2"/>
        <v/>
      </c>
      <c r="H65" s="28" t="str">
        <f>IF(G65&lt;&gt;"",'NE PAS TOUCHER  Calcul'!$BB77,"")</f>
        <v/>
      </c>
      <c r="I65" s="28" t="str">
        <f t="shared" si="3"/>
        <v/>
      </c>
    </row>
    <row r="66" spans="7:9" x14ac:dyDescent="0.15">
      <c r="G66" s="28" t="str">
        <f t="shared" si="2"/>
        <v/>
      </c>
      <c r="H66" s="28" t="str">
        <f>IF(G66&lt;&gt;"",'NE PAS TOUCHER  Calcul'!$BB78,"")</f>
        <v/>
      </c>
      <c r="I66" s="28" t="str">
        <f t="shared" si="3"/>
        <v/>
      </c>
    </row>
    <row r="67" spans="7:9" x14ac:dyDescent="0.15">
      <c r="G67" s="28" t="str">
        <f t="shared" si="2"/>
        <v/>
      </c>
      <c r="H67" s="28" t="str">
        <f>IF(G67&lt;&gt;"",'NE PAS TOUCHER  Calcul'!$BB79,"")</f>
        <v/>
      </c>
      <c r="I67" s="28" t="str">
        <f t="shared" si="3"/>
        <v/>
      </c>
    </row>
    <row r="68" spans="7:9" x14ac:dyDescent="0.15">
      <c r="G68" s="28" t="str">
        <f t="shared" si="2"/>
        <v/>
      </c>
      <c r="H68" s="28" t="str">
        <f>IF(G68&lt;&gt;"",'NE PAS TOUCHER  Calcul'!$BB80,"")</f>
        <v/>
      </c>
      <c r="I68" s="28" t="str">
        <f t="shared" si="3"/>
        <v/>
      </c>
    </row>
    <row r="69" spans="7:9" x14ac:dyDescent="0.15">
      <c r="G69" s="28" t="str">
        <f t="shared" si="2"/>
        <v/>
      </c>
      <c r="H69" s="28" t="str">
        <f>IF(G69&lt;&gt;"",'NE PAS TOUCHER  Calcul'!$BB81,"")</f>
        <v/>
      </c>
      <c r="I69" s="28" t="str">
        <f t="shared" si="3"/>
        <v/>
      </c>
    </row>
    <row r="70" spans="7:9" x14ac:dyDescent="0.15">
      <c r="G70" s="28" t="str">
        <f t="shared" si="2"/>
        <v/>
      </c>
      <c r="H70" s="28" t="str">
        <f>IF(G70&lt;&gt;"",'NE PAS TOUCHER  Calcul'!$BB82,"")</f>
        <v/>
      </c>
      <c r="I70" s="28" t="str">
        <f t="shared" si="3"/>
        <v/>
      </c>
    </row>
    <row r="71" spans="7:9" x14ac:dyDescent="0.15">
      <c r="G71" s="28" t="str">
        <f t="shared" si="2"/>
        <v/>
      </c>
      <c r="H71" s="28" t="str">
        <f>IF(G71&lt;&gt;"",'NE PAS TOUCHER  Calcul'!$BB83,"")</f>
        <v/>
      </c>
      <c r="I71" s="28" t="str">
        <f t="shared" si="3"/>
        <v/>
      </c>
    </row>
    <row r="72" spans="7:9" x14ac:dyDescent="0.15">
      <c r="G72" s="28" t="str">
        <f t="shared" si="2"/>
        <v/>
      </c>
      <c r="H72" s="28" t="str">
        <f>IF(G72&lt;&gt;"",'NE PAS TOUCHER  Calcul'!$BB84,"")</f>
        <v/>
      </c>
      <c r="I72" s="28" t="str">
        <f t="shared" si="3"/>
        <v/>
      </c>
    </row>
    <row r="73" spans="7:9" x14ac:dyDescent="0.15">
      <c r="G73" s="28" t="str">
        <f t="shared" si="2"/>
        <v/>
      </c>
      <c r="H73" s="28" t="str">
        <f>IF(G73&lt;&gt;"",'NE PAS TOUCHER  Calcul'!$BB85,"")</f>
        <v/>
      </c>
      <c r="I73" s="28" t="str">
        <f t="shared" si="3"/>
        <v/>
      </c>
    </row>
    <row r="74" spans="7:9" x14ac:dyDescent="0.15">
      <c r="G74" s="28" t="str">
        <f t="shared" si="2"/>
        <v/>
      </c>
      <c r="H74" s="28" t="str">
        <f>IF(G74&lt;&gt;"",'NE PAS TOUCHER  Calcul'!$BB86,"")</f>
        <v/>
      </c>
      <c r="I74" s="28" t="str">
        <f t="shared" si="3"/>
        <v/>
      </c>
    </row>
    <row r="75" spans="7:9" x14ac:dyDescent="0.15">
      <c r="G75" s="28" t="str">
        <f t="shared" si="2"/>
        <v/>
      </c>
      <c r="H75" s="28" t="str">
        <f>IF(G75&lt;&gt;"",'NE PAS TOUCHER  Calcul'!$BB87,"")</f>
        <v/>
      </c>
      <c r="I75" s="28" t="str">
        <f t="shared" si="3"/>
        <v/>
      </c>
    </row>
    <row r="76" spans="7:9" x14ac:dyDescent="0.15">
      <c r="G76" s="28" t="str">
        <f t="shared" si="2"/>
        <v/>
      </c>
      <c r="H76" s="28" t="str">
        <f>IF(G76&lt;&gt;"",'NE PAS TOUCHER  Calcul'!$BB88,"")</f>
        <v/>
      </c>
      <c r="I76" s="28" t="str">
        <f t="shared" si="3"/>
        <v/>
      </c>
    </row>
    <row r="77" spans="7:9" x14ac:dyDescent="0.15">
      <c r="G77" s="28" t="str">
        <f t="shared" si="2"/>
        <v/>
      </c>
      <c r="H77" s="28" t="str">
        <f>IF(G77&lt;&gt;"",'NE PAS TOUCHER  Calcul'!$BB89,"")</f>
        <v/>
      </c>
      <c r="I77" s="28" t="str">
        <f t="shared" si="3"/>
        <v/>
      </c>
    </row>
    <row r="78" spans="7:9" x14ac:dyDescent="0.15">
      <c r="G78" s="28" t="str">
        <f t="shared" si="2"/>
        <v/>
      </c>
      <c r="H78" s="28" t="str">
        <f>IF(G78&lt;&gt;"",'NE PAS TOUCHER  Calcul'!$BB90,"")</f>
        <v/>
      </c>
      <c r="I78" s="28" t="str">
        <f t="shared" si="3"/>
        <v/>
      </c>
    </row>
    <row r="79" spans="7:9" x14ac:dyDescent="0.15">
      <c r="G79" s="28" t="str">
        <f t="shared" si="2"/>
        <v/>
      </c>
      <c r="H79" s="28" t="str">
        <f>IF(G79&lt;&gt;"",'NE PAS TOUCHER  Calcul'!$BB91,"")</f>
        <v/>
      </c>
      <c r="I79" s="28" t="str">
        <f t="shared" si="3"/>
        <v/>
      </c>
    </row>
    <row r="80" spans="7:9" x14ac:dyDescent="0.15">
      <c r="G80" s="28" t="str">
        <f t="shared" si="2"/>
        <v/>
      </c>
      <c r="H80" s="28" t="str">
        <f>IF(G80&lt;&gt;"",'NE PAS TOUCHER  Calcul'!$BB92,"")</f>
        <v/>
      </c>
      <c r="I80" s="28" t="str">
        <f t="shared" si="3"/>
        <v/>
      </c>
    </row>
    <row r="81" spans="7:9" x14ac:dyDescent="0.15">
      <c r="G81" s="28" t="str">
        <f t="shared" si="2"/>
        <v/>
      </c>
      <c r="H81" s="28" t="str">
        <f>IF(G81&lt;&gt;"",'NE PAS TOUCHER  Calcul'!$BB93,"")</f>
        <v/>
      </c>
      <c r="I81" s="28" t="str">
        <f t="shared" si="3"/>
        <v/>
      </c>
    </row>
    <row r="82" spans="7:9" x14ac:dyDescent="0.15">
      <c r="G82" s="28" t="str">
        <f t="shared" si="2"/>
        <v/>
      </c>
      <c r="H82" s="28" t="str">
        <f>IF(G82&lt;&gt;"",'NE PAS TOUCHER  Calcul'!$BB94,"")</f>
        <v/>
      </c>
      <c r="I82" s="28" t="str">
        <f t="shared" si="3"/>
        <v/>
      </c>
    </row>
    <row r="83" spans="7:9" x14ac:dyDescent="0.15">
      <c r="G83" s="28" t="str">
        <f t="shared" si="2"/>
        <v/>
      </c>
      <c r="H83" s="28" t="str">
        <f>IF(G83&lt;&gt;"",'NE PAS TOUCHER  Calcul'!$BB95,"")</f>
        <v/>
      </c>
      <c r="I83" s="28" t="str">
        <f t="shared" si="3"/>
        <v/>
      </c>
    </row>
    <row r="84" spans="7:9" x14ac:dyDescent="0.15">
      <c r="G84" s="28" t="str">
        <f t="shared" si="2"/>
        <v/>
      </c>
      <c r="H84" s="28" t="str">
        <f>IF(G84&lt;&gt;"",'NE PAS TOUCHER  Calcul'!$BB96,"")</f>
        <v/>
      </c>
      <c r="I84" s="28" t="str">
        <f t="shared" si="3"/>
        <v/>
      </c>
    </row>
    <row r="85" spans="7:9" x14ac:dyDescent="0.15">
      <c r="G85" s="28" t="str">
        <f t="shared" si="2"/>
        <v/>
      </c>
      <c r="H85" s="28" t="str">
        <f>IF(G85&lt;&gt;"",'NE PAS TOUCHER  Calcul'!$BB97,"")</f>
        <v/>
      </c>
      <c r="I85" s="28" t="str">
        <f t="shared" si="3"/>
        <v/>
      </c>
    </row>
    <row r="86" spans="7:9" x14ac:dyDescent="0.15">
      <c r="G86" s="28" t="str">
        <f t="shared" si="2"/>
        <v/>
      </c>
      <c r="H86" s="28" t="str">
        <f>IF(G86&lt;&gt;"",'NE PAS TOUCHER  Calcul'!$BB98,"")</f>
        <v/>
      </c>
      <c r="I86" s="28" t="str">
        <f t="shared" si="3"/>
        <v/>
      </c>
    </row>
    <row r="87" spans="7:9" x14ac:dyDescent="0.15">
      <c r="G87" s="28" t="str">
        <f t="shared" si="2"/>
        <v/>
      </c>
      <c r="H87" s="28" t="str">
        <f>IF(G87&lt;&gt;"",'NE PAS TOUCHER  Calcul'!$BB99,"")</f>
        <v/>
      </c>
      <c r="I87" s="28" t="str">
        <f t="shared" si="3"/>
        <v/>
      </c>
    </row>
    <row r="88" spans="7:9" x14ac:dyDescent="0.15">
      <c r="G88" s="28" t="str">
        <f t="shared" si="2"/>
        <v/>
      </c>
      <c r="H88" s="28" t="str">
        <f>IF(G88&lt;&gt;"",'NE PAS TOUCHER  Calcul'!$BB100,"")</f>
        <v/>
      </c>
      <c r="I88" s="28" t="str">
        <f t="shared" si="3"/>
        <v/>
      </c>
    </row>
    <row r="89" spans="7:9" x14ac:dyDescent="0.15">
      <c r="G89" s="28" t="str">
        <f t="shared" si="2"/>
        <v/>
      </c>
      <c r="H89" s="28" t="str">
        <f>IF(G89&lt;&gt;"",'NE PAS TOUCHER  Calcul'!$BB101,"")</f>
        <v/>
      </c>
      <c r="I89" s="28" t="str">
        <f t="shared" si="3"/>
        <v/>
      </c>
    </row>
    <row r="90" spans="7:9" x14ac:dyDescent="0.15">
      <c r="G90" s="28" t="str">
        <f t="shared" si="2"/>
        <v/>
      </c>
      <c r="H90" s="28" t="str">
        <f>IF(G90&lt;&gt;"",'NE PAS TOUCHER  Calcul'!$BB102,"")</f>
        <v/>
      </c>
      <c r="I90" s="28" t="str">
        <f t="shared" si="3"/>
        <v/>
      </c>
    </row>
    <row r="91" spans="7:9" x14ac:dyDescent="0.15">
      <c r="G91" s="28" t="str">
        <f t="shared" si="2"/>
        <v/>
      </c>
      <c r="H91" s="28" t="str">
        <f>IF(G91&lt;&gt;"",'NE PAS TOUCHER  Calcul'!$BB103,"")</f>
        <v/>
      </c>
      <c r="I91" s="28" t="str">
        <f t="shared" si="3"/>
        <v/>
      </c>
    </row>
    <row r="92" spans="7:9" x14ac:dyDescent="0.15">
      <c r="G92" s="28" t="str">
        <f t="shared" si="2"/>
        <v/>
      </c>
      <c r="H92" s="28" t="str">
        <f>IF(G92&lt;&gt;"",'NE PAS TOUCHER  Calcul'!$BB104,"")</f>
        <v/>
      </c>
      <c r="I92" s="28" t="str">
        <f t="shared" si="3"/>
        <v/>
      </c>
    </row>
    <row r="93" spans="7:9" x14ac:dyDescent="0.15">
      <c r="G93" s="28" t="str">
        <f t="shared" si="2"/>
        <v/>
      </c>
      <c r="H93" s="28" t="str">
        <f>IF(G93&lt;&gt;"",'NE PAS TOUCHER  Calcul'!$BB105,"")</f>
        <v/>
      </c>
      <c r="I93" s="28" t="str">
        <f t="shared" si="3"/>
        <v/>
      </c>
    </row>
    <row r="94" spans="7:9" x14ac:dyDescent="0.15">
      <c r="G94" s="28" t="str">
        <f t="shared" si="2"/>
        <v/>
      </c>
      <c r="H94" s="28" t="str">
        <f>IF(G94&lt;&gt;"",'NE PAS TOUCHER  Calcul'!$BB106,"")</f>
        <v/>
      </c>
      <c r="I94" s="28" t="str">
        <f t="shared" si="3"/>
        <v/>
      </c>
    </row>
    <row r="95" spans="7:9" x14ac:dyDescent="0.15">
      <c r="G95" s="28" t="str">
        <f t="shared" si="2"/>
        <v/>
      </c>
      <c r="H95" s="28" t="str">
        <f>IF(G95&lt;&gt;"",'NE PAS TOUCHER  Calcul'!$BB107,"")</f>
        <v/>
      </c>
      <c r="I95" s="28" t="str">
        <f t="shared" si="3"/>
        <v/>
      </c>
    </row>
    <row r="96" spans="7:9" x14ac:dyDescent="0.15">
      <c r="G96" s="28" t="str">
        <f t="shared" si="2"/>
        <v/>
      </c>
      <c r="H96" s="28" t="str">
        <f>IF(G96&lt;&gt;"",'NE PAS TOUCHER  Calcul'!$BB108,"")</f>
        <v/>
      </c>
      <c r="I96" s="28" t="str">
        <f t="shared" si="3"/>
        <v/>
      </c>
    </row>
    <row r="97" spans="7:9" x14ac:dyDescent="0.15">
      <c r="G97" s="28" t="str">
        <f t="shared" si="2"/>
        <v/>
      </c>
      <c r="H97" s="28" t="str">
        <f>IF(G97&lt;&gt;"",'NE PAS TOUCHER  Calcul'!$BB109,"")</f>
        <v/>
      </c>
      <c r="I97" s="28" t="str">
        <f t="shared" si="3"/>
        <v/>
      </c>
    </row>
    <row r="98" spans="7:9" x14ac:dyDescent="0.15">
      <c r="G98" s="28" t="str">
        <f t="shared" si="2"/>
        <v/>
      </c>
      <c r="H98" s="28" t="str">
        <f>IF(G98&lt;&gt;"",'NE PAS TOUCHER  Calcul'!$BB110,"")</f>
        <v/>
      </c>
      <c r="I98" s="28" t="str">
        <f t="shared" si="3"/>
        <v/>
      </c>
    </row>
    <row r="99" spans="7:9" x14ac:dyDescent="0.15">
      <c r="G99" s="28" t="str">
        <f t="shared" si="2"/>
        <v/>
      </c>
      <c r="H99" s="28" t="str">
        <f>IF(G99&lt;&gt;"",'NE PAS TOUCHER  Calcul'!$BB111,"")</f>
        <v/>
      </c>
      <c r="I99" s="28" t="str">
        <f t="shared" si="3"/>
        <v/>
      </c>
    </row>
    <row r="100" spans="7:9" x14ac:dyDescent="0.15">
      <c r="G100" s="28" t="str">
        <f t="shared" si="2"/>
        <v/>
      </c>
      <c r="H100" s="28" t="str">
        <f>IF(G100&lt;&gt;"",'NE PAS TOUCHER  Calcul'!$BB112,"")</f>
        <v/>
      </c>
      <c r="I100" s="28" t="str">
        <f t="shared" si="3"/>
        <v/>
      </c>
    </row>
    <row r="101" spans="7:9" x14ac:dyDescent="0.15">
      <c r="G101" s="28" t="str">
        <f t="shared" si="2"/>
        <v/>
      </c>
      <c r="H101" s="28" t="str">
        <f>IF(G101&lt;&gt;"",'NE PAS TOUCHER  Calcul'!$BB113,"")</f>
        <v/>
      </c>
      <c r="I101" s="28" t="str">
        <f t="shared" si="3"/>
        <v/>
      </c>
    </row>
    <row r="102" spans="7:9" x14ac:dyDescent="0.15">
      <c r="G102" s="28" t="str">
        <f t="shared" si="2"/>
        <v/>
      </c>
      <c r="H102" s="28" t="str">
        <f>IF(G102&lt;&gt;"",'NE PAS TOUCHER  Calcul'!$BB114,"")</f>
        <v/>
      </c>
      <c r="I102" s="28" t="str">
        <f t="shared" si="3"/>
        <v/>
      </c>
    </row>
    <row r="103" spans="7:9" x14ac:dyDescent="0.15">
      <c r="G103" s="28" t="str">
        <f t="shared" si="2"/>
        <v/>
      </c>
      <c r="H103" s="28" t="str">
        <f>IF(G103&lt;&gt;"",'NE PAS TOUCHER  Calcul'!$BB115,"")</f>
        <v/>
      </c>
      <c r="I103" s="28" t="str">
        <f t="shared" si="3"/>
        <v/>
      </c>
    </row>
    <row r="104" spans="7:9" x14ac:dyDescent="0.15">
      <c r="G104" s="28" t="str">
        <f t="shared" si="2"/>
        <v/>
      </c>
      <c r="H104" s="28" t="str">
        <f>IF(G104&lt;&gt;"",'NE PAS TOUCHER  Calcul'!$BB116,"")</f>
        <v/>
      </c>
      <c r="I104" s="28" t="str">
        <f t="shared" si="3"/>
        <v/>
      </c>
    </row>
    <row r="105" spans="7:9" x14ac:dyDescent="0.15">
      <c r="G105" s="28" t="str">
        <f t="shared" si="2"/>
        <v/>
      </c>
      <c r="H105" s="28" t="str">
        <f>IF(G105&lt;&gt;"",'NE PAS TOUCHER  Calcul'!$BB117,"")</f>
        <v/>
      </c>
      <c r="I105" s="28" t="str">
        <f t="shared" si="3"/>
        <v/>
      </c>
    </row>
    <row r="106" spans="7:9" x14ac:dyDescent="0.15">
      <c r="G106" s="28" t="str">
        <f t="shared" si="2"/>
        <v/>
      </c>
      <c r="H106" s="28" t="str">
        <f>IF(G106&lt;&gt;"",'NE PAS TOUCHER  Calcul'!$BB118,"")</f>
        <v/>
      </c>
      <c r="I106" s="28" t="str">
        <f t="shared" si="3"/>
        <v/>
      </c>
    </row>
    <row r="107" spans="7:9" x14ac:dyDescent="0.15">
      <c r="G107" s="28" t="str">
        <f t="shared" si="2"/>
        <v/>
      </c>
      <c r="H107" s="28" t="str">
        <f>IF(G107&lt;&gt;"",'NE PAS TOUCHER  Calcul'!$BB119,"")</f>
        <v/>
      </c>
      <c r="I107" s="28" t="str">
        <f t="shared" si="3"/>
        <v/>
      </c>
    </row>
    <row r="108" spans="7:9" x14ac:dyDescent="0.15">
      <c r="G108" s="28" t="str">
        <f t="shared" si="2"/>
        <v/>
      </c>
      <c r="H108" s="28" t="str">
        <f>IF(G108&lt;&gt;"",'NE PAS TOUCHER  Calcul'!$BB120,"")</f>
        <v/>
      </c>
      <c r="I108" s="28" t="str">
        <f t="shared" si="3"/>
        <v/>
      </c>
    </row>
    <row r="109" spans="7:9" x14ac:dyDescent="0.15">
      <c r="G109" s="28" t="str">
        <f t="shared" si="2"/>
        <v/>
      </c>
      <c r="H109" s="28" t="str">
        <f>IF(G109&lt;&gt;"",'NE PAS TOUCHER  Calcul'!$BB121,"")</f>
        <v/>
      </c>
      <c r="I109" s="28" t="str">
        <f t="shared" si="3"/>
        <v/>
      </c>
    </row>
    <row r="110" spans="7:9" x14ac:dyDescent="0.15">
      <c r="G110" s="28" t="str">
        <f t="shared" si="2"/>
        <v/>
      </c>
      <c r="H110" s="28" t="str">
        <f>IF(G110&lt;&gt;"",'NE PAS TOUCHER  Calcul'!$BB122,"")</f>
        <v/>
      </c>
      <c r="I110" s="28" t="str">
        <f t="shared" si="3"/>
        <v/>
      </c>
    </row>
    <row r="111" spans="7:9" x14ac:dyDescent="0.15">
      <c r="G111" s="28" t="str">
        <f t="shared" si="2"/>
        <v/>
      </c>
      <c r="H111" s="28" t="str">
        <f>IF(G111&lt;&gt;"",'NE PAS TOUCHER  Calcul'!$BB123,"")</f>
        <v/>
      </c>
      <c r="I111" s="28" t="str">
        <f t="shared" si="3"/>
        <v/>
      </c>
    </row>
    <row r="112" spans="7:9" x14ac:dyDescent="0.15">
      <c r="G112" s="28" t="str">
        <f t="shared" si="2"/>
        <v/>
      </c>
      <c r="H112" s="28" t="str">
        <f>IF(G112&lt;&gt;"",'NE PAS TOUCHER  Calcul'!$BB124,"")</f>
        <v/>
      </c>
      <c r="I112" s="28" t="str">
        <f t="shared" si="3"/>
        <v/>
      </c>
    </row>
    <row r="113" spans="7:9" x14ac:dyDescent="0.15">
      <c r="G113" s="28" t="str">
        <f t="shared" si="2"/>
        <v/>
      </c>
      <c r="H113" s="28" t="str">
        <f>IF(G113&lt;&gt;"",'NE PAS TOUCHER  Calcul'!$BB125,"")</f>
        <v/>
      </c>
      <c r="I113" s="28" t="str">
        <f t="shared" si="3"/>
        <v/>
      </c>
    </row>
    <row r="114" spans="7:9" x14ac:dyDescent="0.15">
      <c r="G114" s="28" t="str">
        <f t="shared" si="2"/>
        <v/>
      </c>
      <c r="H114" s="28" t="str">
        <f>IF(G114&lt;&gt;"",'NE PAS TOUCHER  Calcul'!$BB126,"")</f>
        <v/>
      </c>
      <c r="I114" s="28" t="str">
        <f t="shared" si="3"/>
        <v/>
      </c>
    </row>
    <row r="115" spans="7:9" x14ac:dyDescent="0.15">
      <c r="G115" s="28" t="str">
        <f t="shared" si="2"/>
        <v/>
      </c>
      <c r="H115" s="28" t="str">
        <f>IF(G115&lt;&gt;"",'NE PAS TOUCHER  Calcul'!$BB127,"")</f>
        <v/>
      </c>
      <c r="I115" s="28" t="str">
        <f t="shared" si="3"/>
        <v/>
      </c>
    </row>
    <row r="116" spans="7:9" x14ac:dyDescent="0.15">
      <c r="G116" s="28" t="str">
        <f t="shared" si="2"/>
        <v/>
      </c>
      <c r="H116" s="28" t="str">
        <f>IF(G116&lt;&gt;"",'NE PAS TOUCHER  Calcul'!$BB128,"")</f>
        <v/>
      </c>
      <c r="I116" s="28" t="str">
        <f t="shared" si="3"/>
        <v/>
      </c>
    </row>
    <row r="117" spans="7:9" x14ac:dyDescent="0.15">
      <c r="G117" s="28" t="str">
        <f t="shared" si="2"/>
        <v/>
      </c>
      <c r="H117" s="28" t="str">
        <f>IF(G117&lt;&gt;"",'NE PAS TOUCHER  Calcul'!$BB129,"")</f>
        <v/>
      </c>
      <c r="I117" s="28" t="str">
        <f t="shared" si="3"/>
        <v/>
      </c>
    </row>
    <row r="118" spans="7:9" x14ac:dyDescent="0.15">
      <c r="G118" s="28" t="str">
        <f t="shared" si="2"/>
        <v/>
      </c>
      <c r="H118" s="28" t="str">
        <f>IF(G118&lt;&gt;"",'NE PAS TOUCHER  Calcul'!$BB130,"")</f>
        <v/>
      </c>
      <c r="I118" s="28" t="str">
        <f t="shared" si="3"/>
        <v/>
      </c>
    </row>
    <row r="119" spans="7:9" x14ac:dyDescent="0.15">
      <c r="G119" s="28" t="str">
        <f t="shared" si="2"/>
        <v/>
      </c>
      <c r="H119" s="28" t="str">
        <f>IF(G119&lt;&gt;"",'NE PAS TOUCHER  Calcul'!$BB131,"")</f>
        <v/>
      </c>
      <c r="I119" s="28" t="str">
        <f t="shared" si="3"/>
        <v/>
      </c>
    </row>
    <row r="120" spans="7:9" x14ac:dyDescent="0.15">
      <c r="G120" s="28" t="str">
        <f t="shared" si="2"/>
        <v/>
      </c>
      <c r="H120" s="28" t="str">
        <f>IF(G120&lt;&gt;"",'NE PAS TOUCHER  Calcul'!$BB132,"")</f>
        <v/>
      </c>
      <c r="I120" s="28" t="str">
        <f t="shared" si="3"/>
        <v/>
      </c>
    </row>
    <row r="121" spans="7:9" x14ac:dyDescent="0.15">
      <c r="G121" s="28" t="str">
        <f t="shared" si="2"/>
        <v/>
      </c>
      <c r="H121" s="28" t="str">
        <f>IF(G121&lt;&gt;"",'NE PAS TOUCHER  Calcul'!$BB133,"")</f>
        <v/>
      </c>
      <c r="I121" s="28" t="str">
        <f t="shared" si="3"/>
        <v/>
      </c>
    </row>
    <row r="122" spans="7:9" x14ac:dyDescent="0.15">
      <c r="G122" s="28" t="str">
        <f t="shared" si="2"/>
        <v/>
      </c>
      <c r="H122" s="28" t="str">
        <f>IF(G122&lt;&gt;"",'NE PAS TOUCHER  Calcul'!$BB134,"")</f>
        <v/>
      </c>
      <c r="I122" s="28" t="str">
        <f t="shared" si="3"/>
        <v/>
      </c>
    </row>
    <row r="123" spans="7:9" x14ac:dyDescent="0.15">
      <c r="G123" s="28" t="str">
        <f t="shared" si="2"/>
        <v/>
      </c>
      <c r="H123" s="28" t="str">
        <f>IF(G123&lt;&gt;"",'NE PAS TOUCHER  Calcul'!$BB135,"")</f>
        <v/>
      </c>
      <c r="I123" s="28" t="str">
        <f t="shared" si="3"/>
        <v/>
      </c>
    </row>
    <row r="124" spans="7:9" x14ac:dyDescent="0.15">
      <c r="G124" s="28" t="str">
        <f t="shared" si="2"/>
        <v/>
      </c>
      <c r="H124" s="28" t="str">
        <f>IF(G124&lt;&gt;"",'NE PAS TOUCHER  Calcul'!$BB136,"")</f>
        <v/>
      </c>
      <c r="I124" s="28" t="str">
        <f t="shared" si="3"/>
        <v/>
      </c>
    </row>
    <row r="125" spans="7:9" x14ac:dyDescent="0.15">
      <c r="G125" s="28" t="str">
        <f t="shared" si="2"/>
        <v/>
      </c>
      <c r="H125" s="28" t="str">
        <f>IF(G125&lt;&gt;"",'NE PAS TOUCHER  Calcul'!$BB137,"")</f>
        <v/>
      </c>
      <c r="I125" s="28" t="str">
        <f t="shared" si="3"/>
        <v/>
      </c>
    </row>
    <row r="126" spans="7:9" x14ac:dyDescent="0.15">
      <c r="G126" s="28" t="str">
        <f t="shared" si="2"/>
        <v/>
      </c>
      <c r="H126" s="28" t="str">
        <f>IF(G126&lt;&gt;"",'NE PAS TOUCHER  Calcul'!$BB138,"")</f>
        <v/>
      </c>
      <c r="I126" s="28" t="str">
        <f t="shared" si="3"/>
        <v/>
      </c>
    </row>
    <row r="127" spans="7:9" x14ac:dyDescent="0.15">
      <c r="G127" s="28" t="str">
        <f t="shared" si="2"/>
        <v/>
      </c>
      <c r="H127" s="28" t="str">
        <f>IF(G127&lt;&gt;"",'NE PAS TOUCHER  Calcul'!$BB139,"")</f>
        <v/>
      </c>
      <c r="I127" s="28" t="str">
        <f t="shared" si="3"/>
        <v/>
      </c>
    </row>
    <row r="128" spans="7:9" x14ac:dyDescent="0.15">
      <c r="G128" s="28" t="str">
        <f t="shared" si="2"/>
        <v/>
      </c>
      <c r="H128" s="28" t="str">
        <f>IF(G128&lt;&gt;"",'NE PAS TOUCHER  Calcul'!$BB140,"")</f>
        <v/>
      </c>
      <c r="I128" s="28" t="str">
        <f t="shared" si="3"/>
        <v/>
      </c>
    </row>
    <row r="129" spans="7:9" x14ac:dyDescent="0.15">
      <c r="G129" s="28" t="str">
        <f t="shared" si="2"/>
        <v/>
      </c>
      <c r="H129" s="28" t="str">
        <f>IF(G129&lt;&gt;"",'NE PAS TOUCHER  Calcul'!$BB141,"")</f>
        <v/>
      </c>
      <c r="I129" s="28" t="str">
        <f t="shared" si="3"/>
        <v/>
      </c>
    </row>
    <row r="130" spans="7:9" x14ac:dyDescent="0.15">
      <c r="G130" s="28" t="str">
        <f t="shared" si="2"/>
        <v/>
      </c>
      <c r="H130" s="28" t="str">
        <f>IF(G130&lt;&gt;"",'NE PAS TOUCHER  Calcul'!$BB142,"")</f>
        <v/>
      </c>
      <c r="I130" s="28" t="str">
        <f t="shared" si="3"/>
        <v/>
      </c>
    </row>
    <row r="131" spans="7:9" x14ac:dyDescent="0.15">
      <c r="G131" s="28" t="str">
        <f t="shared" si="2"/>
        <v/>
      </c>
      <c r="H131" s="28" t="str">
        <f>IF(G131&lt;&gt;"",'NE PAS TOUCHER  Calcul'!$BB143,"")</f>
        <v/>
      </c>
      <c r="I131" s="28" t="str">
        <f t="shared" si="3"/>
        <v/>
      </c>
    </row>
    <row r="132" spans="7:9" x14ac:dyDescent="0.15">
      <c r="G132" s="28" t="str">
        <f t="shared" si="2"/>
        <v/>
      </c>
      <c r="H132" s="28" t="str">
        <f>IF(G132&lt;&gt;"",'NE PAS TOUCHER  Calcul'!$BB144,"")</f>
        <v/>
      </c>
      <c r="I132" s="28" t="str">
        <f t="shared" si="3"/>
        <v/>
      </c>
    </row>
    <row r="133" spans="7:9" x14ac:dyDescent="0.15">
      <c r="G133" s="28" t="str">
        <f t="shared" si="2"/>
        <v/>
      </c>
      <c r="H133" s="28" t="str">
        <f>IF(G133&lt;&gt;"",'NE PAS TOUCHER  Calcul'!$BB145,"")</f>
        <v/>
      </c>
      <c r="I133" s="28" t="str">
        <f t="shared" si="3"/>
        <v/>
      </c>
    </row>
    <row r="134" spans="7:9" x14ac:dyDescent="0.15">
      <c r="G134" s="28" t="str">
        <f t="shared" si="2"/>
        <v/>
      </c>
      <c r="H134" s="28" t="str">
        <f>IF(G134&lt;&gt;"",'NE PAS TOUCHER  Calcul'!$BB146,"")</f>
        <v/>
      </c>
      <c r="I134" s="28" t="str">
        <f t="shared" si="3"/>
        <v/>
      </c>
    </row>
    <row r="135" spans="7:9" x14ac:dyDescent="0.15">
      <c r="G135" s="28" t="str">
        <f t="shared" si="2"/>
        <v/>
      </c>
      <c r="H135" s="28" t="str">
        <f>IF(G135&lt;&gt;"",'NE PAS TOUCHER  Calcul'!$BB147,"")</f>
        <v/>
      </c>
      <c r="I135" s="28" t="str">
        <f t="shared" si="3"/>
        <v/>
      </c>
    </row>
    <row r="136" spans="7:9" x14ac:dyDescent="0.15">
      <c r="G136" s="28" t="str">
        <f t="shared" si="2"/>
        <v/>
      </c>
      <c r="H136" s="28" t="str">
        <f>IF(G136&lt;&gt;"",'NE PAS TOUCHER  Calcul'!$BB148,"")</f>
        <v/>
      </c>
      <c r="I136" s="28" t="str">
        <f t="shared" si="3"/>
        <v/>
      </c>
    </row>
    <row r="137" spans="7:9" x14ac:dyDescent="0.15">
      <c r="G137" s="28" t="str">
        <f t="shared" si="2"/>
        <v/>
      </c>
      <c r="H137" s="28" t="str">
        <f>IF(G137&lt;&gt;"",'NE PAS TOUCHER  Calcul'!$BB149,"")</f>
        <v/>
      </c>
      <c r="I137" s="28" t="str">
        <f t="shared" si="3"/>
        <v/>
      </c>
    </row>
    <row r="138" spans="7:9" x14ac:dyDescent="0.15">
      <c r="G138" s="28" t="str">
        <f t="shared" si="2"/>
        <v/>
      </c>
      <c r="H138" s="28" t="str">
        <f>IF(G138&lt;&gt;"",'NE PAS TOUCHER  Calcul'!$BB150,"")</f>
        <v/>
      </c>
      <c r="I138" s="28" t="str">
        <f t="shared" si="3"/>
        <v/>
      </c>
    </row>
    <row r="139" spans="7:9" x14ac:dyDescent="0.15">
      <c r="G139" s="28" t="str">
        <f t="shared" si="2"/>
        <v/>
      </c>
      <c r="H139" s="28" t="str">
        <f>IF(G139&lt;&gt;"",'NE PAS TOUCHER  Calcul'!$BB151,"")</f>
        <v/>
      </c>
      <c r="I139" s="28" t="str">
        <f t="shared" si="3"/>
        <v/>
      </c>
    </row>
    <row r="140" spans="7:9" x14ac:dyDescent="0.15">
      <c r="G140" s="28" t="str">
        <f t="shared" si="2"/>
        <v/>
      </c>
      <c r="H140" s="28" t="str">
        <f>IF(G140&lt;&gt;"",'NE PAS TOUCHER  Calcul'!$BB152,"")</f>
        <v/>
      </c>
      <c r="I140" s="28" t="str">
        <f t="shared" si="3"/>
        <v/>
      </c>
    </row>
    <row r="141" spans="7:9" x14ac:dyDescent="0.15">
      <c r="G141" s="28" t="str">
        <f t="shared" si="2"/>
        <v/>
      </c>
      <c r="H141" s="28" t="str">
        <f>IF(G141&lt;&gt;"",'NE PAS TOUCHER  Calcul'!$BB153,"")</f>
        <v/>
      </c>
      <c r="I141" s="28" t="str">
        <f t="shared" si="3"/>
        <v/>
      </c>
    </row>
    <row r="142" spans="7:9" x14ac:dyDescent="0.15">
      <c r="G142" s="28" t="str">
        <f t="shared" si="2"/>
        <v/>
      </c>
      <c r="H142" s="28" t="str">
        <f>IF(G142&lt;&gt;"",'NE PAS TOUCHER  Calcul'!$BB154,"")</f>
        <v/>
      </c>
      <c r="I142" s="28" t="str">
        <f t="shared" si="3"/>
        <v/>
      </c>
    </row>
    <row r="143" spans="7:9" x14ac:dyDescent="0.15">
      <c r="G143" s="28" t="str">
        <f t="shared" si="2"/>
        <v/>
      </c>
      <c r="H143" s="28" t="str">
        <f>IF(G143&lt;&gt;"",'NE PAS TOUCHER  Calcul'!$BB155,"")</f>
        <v/>
      </c>
      <c r="I143" s="28" t="str">
        <f t="shared" si="3"/>
        <v/>
      </c>
    </row>
    <row r="144" spans="7:9" x14ac:dyDescent="0.15">
      <c r="G144" s="28" t="str">
        <f t="shared" si="2"/>
        <v/>
      </c>
      <c r="H144" s="28" t="str">
        <f>IF(G144&lt;&gt;"",'NE PAS TOUCHER  Calcul'!$BB156,"")</f>
        <v/>
      </c>
      <c r="I144" s="28" t="str">
        <f t="shared" si="3"/>
        <v/>
      </c>
    </row>
    <row r="145" spans="7:9" x14ac:dyDescent="0.15">
      <c r="G145" s="28" t="str">
        <f t="shared" si="2"/>
        <v/>
      </c>
      <c r="H145" s="28" t="str">
        <f>IF(G145&lt;&gt;"",'NE PAS TOUCHER  Calcul'!$BB157,"")</f>
        <v/>
      </c>
      <c r="I145" s="28" t="str">
        <f t="shared" si="3"/>
        <v/>
      </c>
    </row>
    <row r="146" spans="7:9" x14ac:dyDescent="0.15">
      <c r="G146" s="28" t="str">
        <f t="shared" si="2"/>
        <v/>
      </c>
      <c r="H146" s="28" t="str">
        <f>IF(G146&lt;&gt;"",'NE PAS TOUCHER  Calcul'!$BB158,"")</f>
        <v/>
      </c>
      <c r="I146" s="28" t="str">
        <f t="shared" si="3"/>
        <v/>
      </c>
    </row>
    <row r="147" spans="7:9" x14ac:dyDescent="0.15">
      <c r="G147" s="28" t="str">
        <f t="shared" si="2"/>
        <v/>
      </c>
      <c r="H147" s="28" t="str">
        <f>IF(G147&lt;&gt;"",'NE PAS TOUCHER  Calcul'!$BB159,"")</f>
        <v/>
      </c>
      <c r="I147" s="28" t="str">
        <f t="shared" si="3"/>
        <v/>
      </c>
    </row>
    <row r="148" spans="7:9" x14ac:dyDescent="0.15">
      <c r="G148" s="28" t="str">
        <f t="shared" si="2"/>
        <v/>
      </c>
      <c r="H148" s="28" t="str">
        <f>IF(G148&lt;&gt;"",'NE PAS TOUCHER  Calcul'!$BB160,"")</f>
        <v/>
      </c>
      <c r="I148" s="28" t="str">
        <f t="shared" si="3"/>
        <v/>
      </c>
    </row>
    <row r="149" spans="7:9" x14ac:dyDescent="0.15">
      <c r="G149" s="28" t="str">
        <f t="shared" si="2"/>
        <v/>
      </c>
      <c r="H149" s="28" t="str">
        <f>IF(G149&lt;&gt;"",'NE PAS TOUCHER  Calcul'!$BB161,"")</f>
        <v/>
      </c>
      <c r="I149" s="28" t="str">
        <f t="shared" si="3"/>
        <v/>
      </c>
    </row>
    <row r="150" spans="7:9" x14ac:dyDescent="0.15">
      <c r="G150" s="28" t="str">
        <f t="shared" si="2"/>
        <v/>
      </c>
      <c r="H150" s="28" t="str">
        <f>IF(G150&lt;&gt;"",'NE PAS TOUCHER  Calcul'!$BB162,"")</f>
        <v/>
      </c>
      <c r="I150" s="28" t="str">
        <f t="shared" si="3"/>
        <v/>
      </c>
    </row>
    <row r="151" spans="7:9" x14ac:dyDescent="0.15">
      <c r="G151" s="28" t="str">
        <f t="shared" si="2"/>
        <v/>
      </c>
      <c r="H151" s="28" t="str">
        <f>IF(G151&lt;&gt;"",'NE PAS TOUCHER  Calcul'!$BB163,"")</f>
        <v/>
      </c>
      <c r="I151" s="28" t="str">
        <f t="shared" si="3"/>
        <v/>
      </c>
    </row>
    <row r="152" spans="7:9" x14ac:dyDescent="0.15">
      <c r="G152" s="28" t="str">
        <f t="shared" si="2"/>
        <v/>
      </c>
      <c r="H152" s="28" t="str">
        <f>IF(G152&lt;&gt;"",'NE PAS TOUCHER  Calcul'!$BB164,"")</f>
        <v/>
      </c>
      <c r="I152" s="28" t="str">
        <f t="shared" si="3"/>
        <v/>
      </c>
    </row>
    <row r="153" spans="7:9" x14ac:dyDescent="0.15">
      <c r="G153" s="28" t="str">
        <f t="shared" si="2"/>
        <v/>
      </c>
      <c r="H153" s="28" t="str">
        <f>IF(G153&lt;&gt;"",'NE PAS TOUCHER  Calcul'!$BB165,"")</f>
        <v/>
      </c>
      <c r="I153" s="28" t="str">
        <f t="shared" si="3"/>
        <v/>
      </c>
    </row>
    <row r="154" spans="7:9" x14ac:dyDescent="0.15">
      <c r="G154" s="28" t="str">
        <f t="shared" si="2"/>
        <v/>
      </c>
      <c r="H154" s="28" t="str">
        <f>IF(G154&lt;&gt;"",'NE PAS TOUCHER  Calcul'!$BB166,"")</f>
        <v/>
      </c>
      <c r="I154" s="28" t="str">
        <f t="shared" si="3"/>
        <v/>
      </c>
    </row>
    <row r="155" spans="7:9" x14ac:dyDescent="0.15">
      <c r="G155" s="28" t="str">
        <f t="shared" si="2"/>
        <v/>
      </c>
      <c r="H155" s="28" t="str">
        <f>IF(G155&lt;&gt;"",'NE PAS TOUCHER  Calcul'!$BB167,"")</f>
        <v/>
      </c>
      <c r="I155" s="28" t="str">
        <f t="shared" si="3"/>
        <v/>
      </c>
    </row>
    <row r="156" spans="7:9" x14ac:dyDescent="0.15">
      <c r="G156" s="28" t="str">
        <f t="shared" si="2"/>
        <v/>
      </c>
      <c r="H156" s="28" t="str">
        <f>IF(G156&lt;&gt;"",'NE PAS TOUCHER  Calcul'!$BB168,"")</f>
        <v/>
      </c>
      <c r="I156" s="28" t="str">
        <f t="shared" si="3"/>
        <v/>
      </c>
    </row>
    <row r="157" spans="7:9" x14ac:dyDescent="0.15">
      <c r="G157" s="28" t="str">
        <f t="shared" si="2"/>
        <v/>
      </c>
      <c r="H157" s="28" t="str">
        <f>IF(G157&lt;&gt;"",'NE PAS TOUCHER  Calcul'!$BB169,"")</f>
        <v/>
      </c>
      <c r="I157" s="28" t="str">
        <f t="shared" si="3"/>
        <v/>
      </c>
    </row>
    <row r="158" spans="7:9" x14ac:dyDescent="0.15">
      <c r="G158" s="28" t="str">
        <f t="shared" si="2"/>
        <v/>
      </c>
      <c r="H158" s="28" t="str">
        <f>IF(G158&lt;&gt;"",'NE PAS TOUCHER  Calcul'!$BB170,"")</f>
        <v/>
      </c>
      <c r="I158" s="28" t="str">
        <f t="shared" si="3"/>
        <v/>
      </c>
    </row>
    <row r="159" spans="7:9" x14ac:dyDescent="0.15">
      <c r="G159" s="28" t="str">
        <f t="shared" si="2"/>
        <v/>
      </c>
      <c r="H159" s="28" t="str">
        <f>IF(G159&lt;&gt;"",'NE PAS TOUCHER  Calcul'!$BB171,"")</f>
        <v/>
      </c>
      <c r="I159" s="28" t="str">
        <f t="shared" si="3"/>
        <v/>
      </c>
    </row>
    <row r="160" spans="7:9" x14ac:dyDescent="0.15">
      <c r="G160" s="28" t="str">
        <f t="shared" si="2"/>
        <v/>
      </c>
      <c r="H160" s="28" t="str">
        <f>IF(G160&lt;&gt;"",'NE PAS TOUCHER  Calcul'!$BB172,"")</f>
        <v/>
      </c>
      <c r="I160" s="28" t="str">
        <f t="shared" si="3"/>
        <v/>
      </c>
    </row>
    <row r="161" spans="7:9" x14ac:dyDescent="0.15">
      <c r="G161" s="28" t="str">
        <f t="shared" si="2"/>
        <v/>
      </c>
      <c r="H161" s="28" t="str">
        <f>IF(G161&lt;&gt;"",'NE PAS TOUCHER  Calcul'!$BB173,"")</f>
        <v/>
      </c>
      <c r="I161" s="28" t="str">
        <f t="shared" si="3"/>
        <v/>
      </c>
    </row>
    <row r="162" spans="7:9" x14ac:dyDescent="0.15">
      <c r="G162" s="28" t="str">
        <f t="shared" si="2"/>
        <v/>
      </c>
      <c r="H162" s="28" t="str">
        <f>IF(G162&lt;&gt;"",'NE PAS TOUCHER  Calcul'!$BB174,"")</f>
        <v/>
      </c>
      <c r="I162" s="28" t="str">
        <f t="shared" si="3"/>
        <v/>
      </c>
    </row>
    <row r="163" spans="7:9" x14ac:dyDescent="0.15">
      <c r="G163" s="28" t="str">
        <f t="shared" si="2"/>
        <v/>
      </c>
      <c r="H163" s="28" t="str">
        <f>IF(G163&lt;&gt;"",'NE PAS TOUCHER  Calcul'!$BB175,"")</f>
        <v/>
      </c>
      <c r="I163" s="28" t="str">
        <f t="shared" si="3"/>
        <v/>
      </c>
    </row>
    <row r="164" spans="7:9" x14ac:dyDescent="0.15">
      <c r="G164" s="28" t="str">
        <f t="shared" si="2"/>
        <v/>
      </c>
      <c r="H164" s="28" t="str">
        <f>IF(G164&lt;&gt;"",'NE PAS TOUCHER  Calcul'!$BB176,"")</f>
        <v/>
      </c>
      <c r="I164" s="28" t="str">
        <f t="shared" si="3"/>
        <v/>
      </c>
    </row>
    <row r="165" spans="7:9" x14ac:dyDescent="0.15">
      <c r="G165" s="28" t="str">
        <f t="shared" si="2"/>
        <v/>
      </c>
      <c r="H165" s="28" t="str">
        <f>IF(G165&lt;&gt;"",'NE PAS TOUCHER  Calcul'!$BB177,"")</f>
        <v/>
      </c>
      <c r="I165" s="28" t="str">
        <f t="shared" si="3"/>
        <v/>
      </c>
    </row>
    <row r="166" spans="7:9" x14ac:dyDescent="0.15">
      <c r="G166" s="28" t="str">
        <f t="shared" si="2"/>
        <v/>
      </c>
      <c r="H166" s="28" t="str">
        <f>IF(G166&lt;&gt;"",'NE PAS TOUCHER  Calcul'!$BB178,"")</f>
        <v/>
      </c>
      <c r="I166" s="28" t="str">
        <f t="shared" si="3"/>
        <v/>
      </c>
    </row>
    <row r="167" spans="7:9" x14ac:dyDescent="0.15">
      <c r="G167" s="28" t="str">
        <f t="shared" si="2"/>
        <v/>
      </c>
      <c r="H167" s="28" t="str">
        <f>IF(G167&lt;&gt;"",'NE PAS TOUCHER  Calcul'!$BB179,"")</f>
        <v/>
      </c>
      <c r="I167" s="28" t="str">
        <f t="shared" si="3"/>
        <v/>
      </c>
    </row>
    <row r="168" spans="7:9" x14ac:dyDescent="0.15">
      <c r="G168" s="28" t="str">
        <f t="shared" si="2"/>
        <v/>
      </c>
      <c r="H168" s="28" t="str">
        <f>IF(G168&lt;&gt;"",'NE PAS TOUCHER  Calcul'!$BB180,"")</f>
        <v/>
      </c>
      <c r="I168" s="28" t="str">
        <f t="shared" si="3"/>
        <v/>
      </c>
    </row>
    <row r="169" spans="7:9" x14ac:dyDescent="0.15">
      <c r="G169" s="37" t="str">
        <f t="shared" si="2"/>
        <v/>
      </c>
      <c r="H169" s="37" t="str">
        <f>IF(G169&lt;&gt;"",'NE PAS TOUCHER  Calcul'!$BB181,"")</f>
        <v/>
      </c>
      <c r="I169" s="37" t="str">
        <f t="shared" si="3"/>
        <v/>
      </c>
    </row>
  </sheetData>
  <mergeCells count="3">
    <mergeCell ref="A1:J1"/>
    <mergeCell ref="G3:I3"/>
    <mergeCell ref="K3:M3"/>
  </mergeCells>
  <dataValidations count="2">
    <dataValidation type="list" allowBlank="1" showErrorMessage="1" sqref="E5" xr:uid="{00000000-0002-0000-0000-000000000000}">
      <formula1>"8,9,11,12,13,14,15,19,20,22,23,25,27,29,33,35,36,37,38,39,42,43,44,45,47,49,53,55,59,61,65,69,73,111,163"</formula1>
    </dataValidation>
    <dataValidation type="list" allowBlank="1" showErrorMessage="1" sqref="E3" xr:uid="{00000000-0002-0000-0000-000001000000}">
      <formula1>"H,F"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988"/>
  <sheetViews>
    <sheetView workbookViewId="0">
      <selection activeCell="B9" sqref="B9"/>
    </sheetView>
  </sheetViews>
  <sheetFormatPr baseColWidth="10" defaultColWidth="12.6640625" defaultRowHeight="13" x14ac:dyDescent="0.15"/>
  <cols>
    <col min="1" max="1" width="12.33203125" customWidth="1"/>
    <col min="2" max="18" width="9.6640625" customWidth="1"/>
    <col min="19" max="19" width="9.5" customWidth="1"/>
    <col min="20" max="20" width="15.1640625" customWidth="1"/>
    <col min="21" max="36" width="11.1640625" customWidth="1"/>
    <col min="37" max="37" width="13" customWidth="1"/>
    <col min="38" max="53" width="8.1640625" customWidth="1"/>
    <col min="54" max="54" width="10.83203125" customWidth="1"/>
    <col min="55" max="55" width="36.6640625" customWidth="1"/>
    <col min="56" max="65" width="10.83203125" customWidth="1"/>
  </cols>
  <sheetData>
    <row r="1" spans="1:65" ht="23" x14ac:dyDescent="0.15">
      <c r="A1" s="102" t="s">
        <v>32</v>
      </c>
      <c r="B1" s="103"/>
      <c r="C1" s="103"/>
      <c r="D1" s="103"/>
      <c r="E1" s="38"/>
      <c r="F1" s="38"/>
      <c r="G1" s="38"/>
      <c r="H1" s="38"/>
      <c r="I1" s="38"/>
      <c r="J1" s="38"/>
      <c r="K1" s="38"/>
      <c r="L1" s="38"/>
      <c r="M1" s="38"/>
      <c r="N1" s="38"/>
      <c r="O1" s="38"/>
      <c r="P1" s="38"/>
      <c r="Q1" s="38"/>
      <c r="R1" s="38"/>
      <c r="S1" s="39"/>
      <c r="T1" s="104"/>
      <c r="U1" s="103"/>
      <c r="V1" s="103"/>
      <c r="W1" s="103"/>
      <c r="X1" s="103"/>
      <c r="Y1" s="103"/>
      <c r="Z1" s="103"/>
      <c r="AA1" s="103"/>
      <c r="AB1" s="103"/>
      <c r="AC1" s="103"/>
      <c r="AD1" s="103"/>
      <c r="AE1" s="103"/>
      <c r="AF1" s="103"/>
      <c r="AG1" s="103"/>
      <c r="AH1" s="103"/>
      <c r="AI1" s="103"/>
      <c r="AJ1" s="103"/>
      <c r="AK1" s="103"/>
      <c r="AL1" s="103"/>
      <c r="AM1" s="103"/>
      <c r="AN1" s="40"/>
      <c r="AO1" s="40"/>
      <c r="AP1" s="40"/>
      <c r="AQ1" s="40"/>
      <c r="AR1" s="40"/>
      <c r="AS1" s="40"/>
      <c r="AT1" s="39"/>
      <c r="AU1" s="39"/>
      <c r="AV1" s="39"/>
      <c r="AW1" s="39"/>
      <c r="AX1" s="39"/>
      <c r="AY1" s="39"/>
      <c r="AZ1" s="39"/>
      <c r="BA1" s="39"/>
      <c r="BB1" s="39"/>
      <c r="BC1" s="39"/>
      <c r="BD1" s="39"/>
      <c r="BE1" s="39"/>
      <c r="BF1" s="39"/>
      <c r="BG1" s="39"/>
      <c r="BH1" s="39"/>
      <c r="BI1" s="39"/>
      <c r="BJ1" s="39"/>
      <c r="BK1" s="39"/>
      <c r="BL1" s="39"/>
      <c r="BM1" s="39"/>
    </row>
    <row r="2" spans="1:65" ht="23" x14ac:dyDescent="0.15">
      <c r="A2" s="103"/>
      <c r="B2" s="103"/>
      <c r="C2" s="103"/>
      <c r="D2" s="103"/>
      <c r="E2" s="38"/>
      <c r="F2" s="38"/>
      <c r="G2" s="38"/>
      <c r="H2" s="38"/>
      <c r="I2" s="38"/>
      <c r="J2" s="38"/>
      <c r="K2" s="38"/>
      <c r="L2" s="38"/>
      <c r="M2" s="38"/>
      <c r="N2" s="38"/>
      <c r="O2" s="38"/>
      <c r="P2" s="38"/>
      <c r="Q2" s="38"/>
      <c r="R2" s="38"/>
      <c r="S2" s="39"/>
      <c r="T2" s="103"/>
      <c r="U2" s="103"/>
      <c r="V2" s="103"/>
      <c r="W2" s="103"/>
      <c r="X2" s="103"/>
      <c r="Y2" s="103"/>
      <c r="Z2" s="103"/>
      <c r="AA2" s="103"/>
      <c r="AB2" s="103"/>
      <c r="AC2" s="103"/>
      <c r="AD2" s="103"/>
      <c r="AE2" s="103"/>
      <c r="AF2" s="103"/>
      <c r="AG2" s="103"/>
      <c r="AH2" s="103"/>
      <c r="AI2" s="103"/>
      <c r="AJ2" s="103"/>
      <c r="AK2" s="103"/>
      <c r="AL2" s="103"/>
      <c r="AM2" s="103"/>
      <c r="AN2" s="40"/>
      <c r="AO2" s="40"/>
      <c r="AP2" s="40"/>
      <c r="AQ2" s="40"/>
      <c r="AR2" s="40"/>
      <c r="AS2" s="40"/>
      <c r="AT2" s="39"/>
      <c r="AU2" s="39"/>
      <c r="AV2" s="39"/>
      <c r="AW2" s="39"/>
      <c r="AX2" s="39"/>
      <c r="AY2" s="39"/>
      <c r="AZ2" s="39"/>
      <c r="BA2" s="39"/>
      <c r="BB2" s="39"/>
      <c r="BC2" s="39"/>
      <c r="BD2" s="39"/>
      <c r="BE2" s="39"/>
      <c r="BF2" s="39"/>
      <c r="BG2" s="39"/>
      <c r="BH2" s="39"/>
      <c r="BI2" s="39"/>
      <c r="BJ2" s="39"/>
      <c r="BK2" s="39"/>
      <c r="BL2" s="39"/>
      <c r="BM2" s="39"/>
    </row>
    <row r="3" spans="1:65" ht="23" x14ac:dyDescent="0.15">
      <c r="A3" s="103"/>
      <c r="B3" s="103"/>
      <c r="C3" s="103"/>
      <c r="D3" s="103"/>
      <c r="E3" s="38"/>
      <c r="F3" s="38"/>
      <c r="G3" s="38"/>
      <c r="H3" s="38"/>
      <c r="I3" s="38"/>
      <c r="J3" s="38"/>
      <c r="K3" s="38"/>
      <c r="L3" s="38"/>
      <c r="M3" s="38"/>
      <c r="N3" s="38"/>
      <c r="O3" s="38"/>
      <c r="P3" s="38"/>
      <c r="Q3" s="38"/>
      <c r="R3" s="38"/>
      <c r="S3" s="39"/>
      <c r="T3" s="103"/>
      <c r="U3" s="103"/>
      <c r="V3" s="103"/>
      <c r="W3" s="103"/>
      <c r="X3" s="103"/>
      <c r="Y3" s="103"/>
      <c r="Z3" s="103"/>
      <c r="AA3" s="103"/>
      <c r="AB3" s="103"/>
      <c r="AC3" s="103"/>
      <c r="AD3" s="103"/>
      <c r="AE3" s="103"/>
      <c r="AF3" s="103"/>
      <c r="AG3" s="103"/>
      <c r="AH3" s="103"/>
      <c r="AI3" s="103"/>
      <c r="AJ3" s="103"/>
      <c r="AK3" s="103"/>
      <c r="AL3" s="103"/>
      <c r="AM3" s="103"/>
      <c r="AN3" s="40"/>
      <c r="AO3" s="40"/>
      <c r="AP3" s="40"/>
      <c r="AQ3" s="40"/>
      <c r="AR3" s="40"/>
      <c r="AS3" s="40"/>
      <c r="AT3" s="39"/>
      <c r="AU3" s="39"/>
      <c r="AV3" s="39"/>
      <c r="AW3" s="39"/>
      <c r="AX3" s="39"/>
      <c r="AY3" s="39"/>
      <c r="AZ3" s="39"/>
      <c r="BA3" s="39"/>
      <c r="BB3" s="39"/>
      <c r="BC3" s="39"/>
      <c r="BD3" s="39"/>
      <c r="BE3" s="39"/>
      <c r="BF3" s="39"/>
      <c r="BG3" s="39"/>
      <c r="BH3" s="39"/>
      <c r="BI3" s="39"/>
      <c r="BJ3" s="39"/>
      <c r="BK3" s="39"/>
      <c r="BL3" s="39"/>
      <c r="BM3" s="39"/>
    </row>
    <row r="4" spans="1:65" ht="23" x14ac:dyDescent="0.15">
      <c r="A4" s="103"/>
      <c r="B4" s="103"/>
      <c r="C4" s="103"/>
      <c r="D4" s="103"/>
      <c r="E4" s="38"/>
      <c r="F4" s="38"/>
      <c r="G4" s="38"/>
      <c r="H4" s="38"/>
      <c r="I4" s="38"/>
      <c r="J4" s="38"/>
      <c r="K4" s="38"/>
      <c r="L4" s="38"/>
      <c r="M4" s="38"/>
      <c r="N4" s="38"/>
      <c r="O4" s="38"/>
      <c r="P4" s="38"/>
      <c r="Q4" s="38"/>
      <c r="R4" s="38"/>
      <c r="S4" s="39"/>
      <c r="T4" s="103"/>
      <c r="U4" s="103"/>
      <c r="V4" s="103"/>
      <c r="W4" s="103"/>
      <c r="X4" s="103"/>
      <c r="Y4" s="103"/>
      <c r="Z4" s="103"/>
      <c r="AA4" s="103"/>
      <c r="AB4" s="103"/>
      <c r="AC4" s="103"/>
      <c r="AD4" s="103"/>
      <c r="AE4" s="103"/>
      <c r="AF4" s="103"/>
      <c r="AG4" s="103"/>
      <c r="AH4" s="103"/>
      <c r="AI4" s="103"/>
      <c r="AJ4" s="103"/>
      <c r="AK4" s="103"/>
      <c r="AL4" s="103"/>
      <c r="AM4" s="103"/>
      <c r="AN4" s="40"/>
      <c r="AO4" s="40"/>
      <c r="AP4" s="40"/>
      <c r="AQ4" s="40"/>
      <c r="AR4" s="40"/>
      <c r="AS4" s="40"/>
      <c r="AT4" s="39"/>
      <c r="AU4" s="39"/>
      <c r="AV4" s="39"/>
      <c r="AW4" s="39"/>
      <c r="AX4" s="39"/>
      <c r="AY4" s="39"/>
      <c r="AZ4" s="39"/>
      <c r="BA4" s="39"/>
      <c r="BB4" s="39"/>
      <c r="BC4" s="39"/>
      <c r="BD4" s="39"/>
      <c r="BE4" s="39"/>
      <c r="BF4" s="39"/>
      <c r="BG4" s="39"/>
      <c r="BH4" s="39"/>
      <c r="BI4" s="39"/>
      <c r="BJ4" s="39"/>
      <c r="BK4" s="39"/>
      <c r="BL4" s="39"/>
      <c r="BM4" s="39"/>
    </row>
    <row r="5" spans="1:65" ht="23" x14ac:dyDescent="0.15">
      <c r="A5" s="103"/>
      <c r="B5" s="103"/>
      <c r="C5" s="103"/>
      <c r="D5" s="103"/>
      <c r="E5" s="38"/>
      <c r="F5" s="38"/>
      <c r="G5" s="38"/>
      <c r="H5" s="38"/>
      <c r="I5" s="38"/>
      <c r="J5" s="38"/>
      <c r="K5" s="38"/>
      <c r="L5" s="38"/>
      <c r="M5" s="38"/>
      <c r="N5" s="38"/>
      <c r="O5" s="38"/>
      <c r="P5" s="38"/>
      <c r="Q5" s="38"/>
      <c r="R5" s="38"/>
      <c r="S5" s="39"/>
      <c r="T5" s="103"/>
      <c r="U5" s="103"/>
      <c r="V5" s="103"/>
      <c r="W5" s="103"/>
      <c r="X5" s="103"/>
      <c r="Y5" s="103"/>
      <c r="Z5" s="103"/>
      <c r="AA5" s="103"/>
      <c r="AB5" s="103"/>
      <c r="AC5" s="103"/>
      <c r="AD5" s="103"/>
      <c r="AE5" s="103"/>
      <c r="AF5" s="103"/>
      <c r="AG5" s="103"/>
      <c r="AH5" s="103"/>
      <c r="AI5" s="103"/>
      <c r="AJ5" s="103"/>
      <c r="AK5" s="103"/>
      <c r="AL5" s="103"/>
      <c r="AM5" s="103"/>
      <c r="AN5" s="40"/>
      <c r="AO5" s="40"/>
      <c r="AP5" s="40"/>
      <c r="AQ5" s="40"/>
      <c r="AR5" s="40"/>
      <c r="AS5" s="40"/>
      <c r="AT5" s="39"/>
      <c r="AU5" s="39"/>
      <c r="AV5" s="39"/>
      <c r="AW5" s="39"/>
      <c r="AX5" s="39"/>
      <c r="AY5" s="39"/>
      <c r="AZ5" s="39"/>
      <c r="BA5" s="39"/>
      <c r="BB5" s="39"/>
      <c r="BC5" s="39"/>
      <c r="BD5" s="39"/>
      <c r="BE5" s="39"/>
      <c r="BF5" s="39"/>
      <c r="BG5" s="39"/>
      <c r="BH5" s="39"/>
      <c r="BI5" s="39"/>
      <c r="BJ5" s="39"/>
      <c r="BK5" s="39"/>
      <c r="BL5" s="39"/>
      <c r="BM5" s="39"/>
    </row>
    <row r="6" spans="1:65" ht="23" x14ac:dyDescent="0.25">
      <c r="A6" s="103"/>
      <c r="B6" s="103"/>
      <c r="C6" s="103"/>
      <c r="D6" s="103"/>
      <c r="E6" s="38"/>
      <c r="F6" s="38"/>
      <c r="G6" s="38"/>
      <c r="H6" s="38"/>
      <c r="I6" s="38"/>
      <c r="J6" s="38"/>
      <c r="K6" s="38"/>
      <c r="L6" s="38"/>
      <c r="M6" s="38"/>
      <c r="N6" s="38"/>
      <c r="O6" s="38"/>
      <c r="P6" s="38"/>
      <c r="Q6" s="38"/>
      <c r="R6" s="38"/>
      <c r="S6" s="41"/>
      <c r="T6" s="103"/>
      <c r="U6" s="103"/>
      <c r="V6" s="103"/>
      <c r="W6" s="103"/>
      <c r="X6" s="103"/>
      <c r="Y6" s="103"/>
      <c r="Z6" s="103"/>
      <c r="AA6" s="103"/>
      <c r="AB6" s="103"/>
      <c r="AC6" s="103"/>
      <c r="AD6" s="103"/>
      <c r="AE6" s="103"/>
      <c r="AF6" s="103"/>
      <c r="AG6" s="103"/>
      <c r="AH6" s="103"/>
      <c r="AI6" s="103"/>
      <c r="AJ6" s="103"/>
      <c r="AK6" s="103"/>
      <c r="AL6" s="103"/>
      <c r="AM6" s="103"/>
      <c r="AN6" s="40"/>
      <c r="AO6" s="40"/>
      <c r="AP6" s="40"/>
      <c r="AQ6" s="40"/>
      <c r="AR6" s="40"/>
      <c r="AS6" s="40"/>
      <c r="AT6" s="39"/>
      <c r="AU6" s="39"/>
      <c r="AV6" s="39"/>
      <c r="AW6" s="39"/>
      <c r="AX6" s="39"/>
      <c r="AY6" s="39"/>
      <c r="AZ6" s="39"/>
      <c r="BA6" s="39"/>
      <c r="BB6" s="39"/>
      <c r="BC6" s="39"/>
      <c r="BD6" s="39"/>
      <c r="BE6" s="39"/>
      <c r="BF6" s="39"/>
      <c r="BG6" s="39"/>
      <c r="BH6" s="39"/>
      <c r="BI6" s="39"/>
      <c r="BJ6" s="39"/>
      <c r="BK6" s="39"/>
      <c r="BL6" s="39"/>
      <c r="BM6" s="39"/>
    </row>
    <row r="7" spans="1:65" ht="23" x14ac:dyDescent="0.25">
      <c r="A7" s="41"/>
      <c r="B7" s="41"/>
      <c r="C7" s="41"/>
      <c r="D7" s="41"/>
      <c r="E7" s="41"/>
      <c r="F7" s="41"/>
      <c r="G7" s="41"/>
      <c r="H7" s="41"/>
      <c r="I7" s="41"/>
      <c r="J7" s="41"/>
      <c r="K7" s="41"/>
      <c r="L7" s="41"/>
      <c r="M7" s="41"/>
      <c r="N7" s="41"/>
      <c r="O7" s="41"/>
      <c r="P7" s="41"/>
      <c r="Q7" s="41"/>
      <c r="R7" s="41"/>
      <c r="S7" s="41"/>
      <c r="T7" s="103"/>
      <c r="U7" s="103"/>
      <c r="V7" s="103"/>
      <c r="W7" s="103"/>
      <c r="X7" s="103"/>
      <c r="Y7" s="103"/>
      <c r="Z7" s="103"/>
      <c r="AA7" s="103"/>
      <c r="AB7" s="103"/>
      <c r="AC7" s="103"/>
      <c r="AD7" s="103"/>
      <c r="AE7" s="103"/>
      <c r="AF7" s="103"/>
      <c r="AG7" s="103"/>
      <c r="AH7" s="103"/>
      <c r="AI7" s="103"/>
      <c r="AJ7" s="103"/>
      <c r="AK7" s="103"/>
      <c r="AL7" s="103"/>
      <c r="AM7" s="103"/>
      <c r="AN7" s="40"/>
      <c r="AO7" s="40"/>
      <c r="AP7" s="40"/>
      <c r="AQ7" s="40"/>
      <c r="AR7" s="40"/>
      <c r="AS7" s="40"/>
      <c r="AT7" s="39"/>
      <c r="AU7" s="39"/>
      <c r="AV7" s="39"/>
      <c r="AW7" s="39"/>
      <c r="AX7" s="39"/>
      <c r="AY7" s="39"/>
      <c r="AZ7" s="39"/>
      <c r="BA7" s="39"/>
      <c r="BB7" s="39"/>
      <c r="BC7" s="39"/>
      <c r="BD7" s="39"/>
      <c r="BE7" s="39"/>
      <c r="BF7" s="39"/>
      <c r="BG7" s="39"/>
      <c r="BH7" s="39"/>
      <c r="BI7" s="39"/>
      <c r="BJ7" s="39"/>
      <c r="BK7" s="39"/>
      <c r="BL7" s="39"/>
      <c r="BM7" s="39"/>
    </row>
    <row r="8" spans="1:65" ht="23" x14ac:dyDescent="0.25">
      <c r="A8" s="41"/>
      <c r="B8" s="41"/>
      <c r="C8" s="41"/>
      <c r="D8" s="41"/>
      <c r="E8" s="41"/>
      <c r="F8" s="41"/>
      <c r="G8" s="41"/>
      <c r="H8" s="41"/>
      <c r="I8" s="41"/>
      <c r="J8" s="41"/>
      <c r="K8" s="41"/>
      <c r="L8" s="41"/>
      <c r="M8" s="41"/>
      <c r="N8" s="41"/>
      <c r="O8" s="41"/>
      <c r="P8" s="41"/>
      <c r="Q8" s="41"/>
      <c r="R8" s="41"/>
      <c r="S8" s="41"/>
      <c r="T8" s="103"/>
      <c r="U8" s="103"/>
      <c r="V8" s="103"/>
      <c r="W8" s="103"/>
      <c r="X8" s="103"/>
      <c r="Y8" s="103"/>
      <c r="Z8" s="103"/>
      <c r="AA8" s="103"/>
      <c r="AB8" s="103"/>
      <c r="AC8" s="103"/>
      <c r="AD8" s="103"/>
      <c r="AE8" s="103"/>
      <c r="AF8" s="103"/>
      <c r="AG8" s="103"/>
      <c r="AH8" s="103"/>
      <c r="AI8" s="103"/>
      <c r="AJ8" s="103"/>
      <c r="AK8" s="103"/>
      <c r="AL8" s="103"/>
      <c r="AM8" s="103"/>
      <c r="AN8" s="40"/>
      <c r="AO8" s="40"/>
      <c r="AP8" s="40"/>
      <c r="AQ8" s="40"/>
      <c r="AR8" s="40"/>
      <c r="AS8" s="40"/>
      <c r="AT8" s="39"/>
      <c r="AU8" s="39"/>
      <c r="AV8" s="39"/>
      <c r="AW8" s="39"/>
      <c r="AX8" s="39"/>
      <c r="AY8" s="39"/>
      <c r="AZ8" s="39"/>
      <c r="BA8" s="39"/>
      <c r="BB8" s="39"/>
      <c r="BC8" s="39"/>
      <c r="BD8" s="39"/>
      <c r="BE8" s="39"/>
      <c r="BF8" s="39"/>
      <c r="BG8" s="39"/>
      <c r="BH8" s="39"/>
      <c r="BI8" s="39"/>
      <c r="BJ8" s="39"/>
      <c r="BK8" s="39"/>
      <c r="BL8" s="39"/>
      <c r="BM8" s="39"/>
    </row>
    <row r="9" spans="1:65" ht="16" x14ac:dyDescent="0.15">
      <c r="A9" s="39"/>
      <c r="B9" s="39"/>
      <c r="C9" s="39"/>
      <c r="D9" s="39"/>
      <c r="E9" s="39"/>
      <c r="F9" s="39"/>
      <c r="G9" s="39"/>
      <c r="H9" s="39"/>
      <c r="I9" s="39"/>
      <c r="J9" s="39"/>
      <c r="K9" s="39"/>
      <c r="L9" s="39"/>
      <c r="M9" s="39"/>
      <c r="N9" s="39"/>
      <c r="O9" s="39"/>
      <c r="P9" s="39"/>
      <c r="Q9" s="39"/>
      <c r="R9" s="39"/>
      <c r="S9" s="39"/>
      <c r="T9" s="103"/>
      <c r="U9" s="103"/>
      <c r="V9" s="103"/>
      <c r="W9" s="103"/>
      <c r="X9" s="103"/>
      <c r="Y9" s="103"/>
      <c r="Z9" s="103"/>
      <c r="AA9" s="103"/>
      <c r="AB9" s="103"/>
      <c r="AC9" s="103"/>
      <c r="AD9" s="103"/>
      <c r="AE9" s="103"/>
      <c r="AF9" s="103"/>
      <c r="AG9" s="103"/>
      <c r="AH9" s="103"/>
      <c r="AI9" s="103"/>
      <c r="AJ9" s="103"/>
      <c r="AK9" s="103"/>
      <c r="AL9" s="103"/>
      <c r="AM9" s="103"/>
      <c r="AN9" s="40"/>
      <c r="AO9" s="40"/>
      <c r="AP9" s="40"/>
      <c r="AQ9" s="40"/>
      <c r="AR9" s="40"/>
      <c r="AS9" s="40"/>
      <c r="AT9" s="39"/>
      <c r="AU9" s="39"/>
      <c r="AV9" s="39"/>
      <c r="AW9" s="39"/>
      <c r="AX9" s="39"/>
      <c r="AY9" s="39"/>
      <c r="AZ9" s="39"/>
      <c r="BA9" s="39"/>
      <c r="BB9" s="39"/>
      <c r="BC9" s="39"/>
      <c r="BD9" s="39"/>
      <c r="BE9" s="39"/>
      <c r="BF9" s="39"/>
      <c r="BG9" s="39"/>
      <c r="BH9" s="39"/>
      <c r="BI9" s="39"/>
      <c r="BJ9" s="39"/>
      <c r="BK9" s="39"/>
      <c r="BL9" s="39"/>
      <c r="BM9" s="39"/>
    </row>
    <row r="10" spans="1:65" ht="16" x14ac:dyDescent="0.2">
      <c r="A10" s="42"/>
      <c r="B10" s="43" t="str">
        <f t="array" ref="B10:R10">TRANSPOSE(Résultats!$A$4:$A$20)</f>
        <v>Liste 1</v>
      </c>
      <c r="C10" s="43" t="str">
        <v>Liste 2</v>
      </c>
      <c r="D10" s="43" t="str">
        <v>Liste 3</v>
      </c>
      <c r="E10" s="44" t="str">
        <v>Liste 4</v>
      </c>
      <c r="F10" s="44" t="str">
        <v>Liste 5</v>
      </c>
      <c r="G10" s="44" t="str">
        <v>Liste 6</v>
      </c>
      <c r="H10" s="44" t="str">
        <v>Liste 7</v>
      </c>
      <c r="I10" s="44" t="str">
        <v>Liste 8</v>
      </c>
      <c r="J10" s="44" t="str">
        <v>Liste 9</v>
      </c>
      <c r="K10" s="44" t="str">
        <v>Liste 10</v>
      </c>
      <c r="L10" s="44" t="str">
        <v>Liste 11</v>
      </c>
      <c r="M10" s="44" t="str">
        <v>Liste 12</v>
      </c>
      <c r="N10" s="44" t="str">
        <v>Liste 13</v>
      </c>
      <c r="O10" s="44" t="str">
        <v>Liste 14</v>
      </c>
      <c r="P10" s="44" t="str">
        <v>Liste 15</v>
      </c>
      <c r="Q10" s="44" t="str">
        <v>Liste 16</v>
      </c>
      <c r="R10" s="45" t="str">
        <v>Liste 17</v>
      </c>
      <c r="S10" s="46"/>
      <c r="T10" s="105"/>
      <c r="U10" s="105"/>
      <c r="V10" s="105"/>
      <c r="W10" s="105"/>
      <c r="X10" s="105"/>
      <c r="Y10" s="105"/>
      <c r="Z10" s="105"/>
      <c r="AA10" s="105"/>
      <c r="AB10" s="105"/>
      <c r="AC10" s="105"/>
      <c r="AD10" s="105"/>
      <c r="AE10" s="105"/>
      <c r="AF10" s="105"/>
      <c r="AG10" s="105"/>
      <c r="AH10" s="105"/>
      <c r="AI10" s="105"/>
      <c r="AJ10" s="105"/>
      <c r="AK10" s="105"/>
      <c r="AL10" s="105"/>
      <c r="AM10" s="105"/>
      <c r="AN10" s="40"/>
      <c r="AO10" s="40"/>
      <c r="AP10" s="40"/>
      <c r="AQ10" s="40"/>
      <c r="AR10" s="40"/>
      <c r="AS10" s="40"/>
      <c r="AT10" s="39"/>
      <c r="AU10" s="39"/>
      <c r="AV10" s="39"/>
      <c r="AW10" s="39"/>
      <c r="AX10" s="39"/>
      <c r="AY10" s="39"/>
      <c r="AZ10" s="39"/>
      <c r="BA10" s="39"/>
      <c r="BB10" s="39"/>
      <c r="BC10" s="39"/>
      <c r="BD10" s="39"/>
      <c r="BE10" s="39"/>
      <c r="BF10" s="39"/>
      <c r="BG10" s="39"/>
      <c r="BH10" s="39"/>
      <c r="BI10" s="39"/>
      <c r="BJ10" s="39"/>
      <c r="BK10" s="39"/>
      <c r="BL10" s="39"/>
      <c r="BM10" s="39"/>
    </row>
    <row r="11" spans="1:65" ht="18" x14ac:dyDescent="0.2">
      <c r="A11" s="47" t="s">
        <v>33</v>
      </c>
      <c r="B11" s="48">
        <f t="array" ref="B11:R11">TRANSPOSE(Résultats!$B$4:$B$20)</f>
        <v>19</v>
      </c>
      <c r="C11" s="48">
        <v>22</v>
      </c>
      <c r="D11" s="48">
        <v>0</v>
      </c>
      <c r="E11" s="49">
        <v>0</v>
      </c>
      <c r="F11" s="49">
        <v>0</v>
      </c>
      <c r="G11" s="49">
        <v>0</v>
      </c>
      <c r="H11" s="49">
        <v>0</v>
      </c>
      <c r="I11" s="49">
        <v>0</v>
      </c>
      <c r="J11" s="49">
        <v>0</v>
      </c>
      <c r="K11" s="49">
        <v>0</v>
      </c>
      <c r="L11" s="49">
        <v>0</v>
      </c>
      <c r="M11" s="49">
        <v>0</v>
      </c>
      <c r="N11" s="49">
        <v>0</v>
      </c>
      <c r="O11" s="49">
        <v>0</v>
      </c>
      <c r="P11" s="49">
        <v>0</v>
      </c>
      <c r="Q11" s="49">
        <v>0</v>
      </c>
      <c r="R11" s="50">
        <v>0</v>
      </c>
      <c r="S11" s="46"/>
      <c r="T11" s="106" t="s">
        <v>34</v>
      </c>
      <c r="U11" s="107"/>
      <c r="V11" s="107"/>
      <c r="W11" s="107"/>
      <c r="X11" s="107"/>
      <c r="Y11" s="107"/>
      <c r="Z11" s="107"/>
      <c r="AA11" s="107"/>
      <c r="AB11" s="107"/>
      <c r="AC11" s="107"/>
      <c r="AD11" s="107"/>
      <c r="AE11" s="107"/>
      <c r="AF11" s="107"/>
      <c r="AG11" s="107"/>
      <c r="AH11" s="107"/>
      <c r="AI11" s="107"/>
      <c r="AJ11" s="107"/>
      <c r="AK11" s="108" t="s">
        <v>35</v>
      </c>
      <c r="AL11" s="109"/>
      <c r="AM11" s="109"/>
      <c r="AN11" s="109"/>
      <c r="AO11" s="109"/>
      <c r="AP11" s="109"/>
      <c r="AQ11" s="109"/>
      <c r="AR11" s="109"/>
      <c r="AS11" s="109"/>
      <c r="AT11" s="109"/>
      <c r="AU11" s="109"/>
      <c r="AV11" s="109"/>
      <c r="AW11" s="109"/>
      <c r="AX11" s="109"/>
      <c r="AY11" s="109"/>
      <c r="AZ11" s="109"/>
      <c r="BA11" s="110"/>
      <c r="BB11" s="39"/>
      <c r="BC11" s="39"/>
      <c r="BD11" s="39"/>
      <c r="BE11" s="39"/>
      <c r="BF11" s="39"/>
      <c r="BG11" s="39"/>
      <c r="BH11" s="39"/>
      <c r="BI11" s="39"/>
      <c r="BJ11" s="39"/>
      <c r="BK11" s="39"/>
      <c r="BL11" s="39"/>
      <c r="BM11" s="39"/>
    </row>
    <row r="12" spans="1:65" ht="16" x14ac:dyDescent="0.2">
      <c r="A12" s="39"/>
      <c r="B12" s="51">
        <f t="shared" ref="B12:R12" si="0">IF(B11&lt;&gt;"",B11,0)</f>
        <v>19</v>
      </c>
      <c r="C12" s="51">
        <f t="shared" si="0"/>
        <v>22</v>
      </c>
      <c r="D12" s="39">
        <f t="shared" si="0"/>
        <v>0</v>
      </c>
      <c r="E12" s="39">
        <f t="shared" si="0"/>
        <v>0</v>
      </c>
      <c r="F12" s="39">
        <f t="shared" si="0"/>
        <v>0</v>
      </c>
      <c r="G12" s="39">
        <f t="shared" si="0"/>
        <v>0</v>
      </c>
      <c r="H12" s="39">
        <f t="shared" si="0"/>
        <v>0</v>
      </c>
      <c r="I12" s="39">
        <f t="shared" si="0"/>
        <v>0</v>
      </c>
      <c r="J12" s="39">
        <f t="shared" si="0"/>
        <v>0</v>
      </c>
      <c r="K12" s="39">
        <f t="shared" si="0"/>
        <v>0</v>
      </c>
      <c r="L12" s="39">
        <f t="shared" si="0"/>
        <v>0</v>
      </c>
      <c r="M12" s="39">
        <f t="shared" si="0"/>
        <v>0</v>
      </c>
      <c r="N12" s="39">
        <f t="shared" si="0"/>
        <v>0</v>
      </c>
      <c r="O12" s="39">
        <f t="shared" si="0"/>
        <v>0</v>
      </c>
      <c r="P12" s="39">
        <f t="shared" si="0"/>
        <v>0</v>
      </c>
      <c r="Q12" s="39">
        <f t="shared" si="0"/>
        <v>0</v>
      </c>
      <c r="R12" s="39">
        <f t="shared" si="0"/>
        <v>0</v>
      </c>
      <c r="S12" s="39"/>
      <c r="T12" s="52"/>
      <c r="U12" s="46"/>
      <c r="V12" s="46"/>
      <c r="W12" s="46"/>
      <c r="X12" s="46"/>
      <c r="Y12" s="46"/>
      <c r="Z12" s="46"/>
      <c r="AA12" s="46"/>
      <c r="AB12" s="46"/>
      <c r="AC12" s="46"/>
      <c r="AD12" s="46"/>
      <c r="AE12" s="46"/>
      <c r="AF12" s="46"/>
      <c r="AG12" s="46"/>
      <c r="AH12" s="46"/>
      <c r="AI12" s="46"/>
      <c r="AJ12" s="46"/>
      <c r="AK12" s="53"/>
      <c r="AL12" s="46"/>
      <c r="AM12" s="46"/>
      <c r="AN12" s="46"/>
      <c r="AO12" s="46"/>
      <c r="AP12" s="46"/>
      <c r="AQ12" s="46"/>
      <c r="AR12" s="46"/>
      <c r="AS12" s="46"/>
      <c r="AT12" s="46"/>
      <c r="AU12" s="46"/>
      <c r="AV12" s="46"/>
      <c r="AW12" s="46"/>
      <c r="AX12" s="46"/>
      <c r="AY12" s="46"/>
      <c r="AZ12" s="46"/>
      <c r="BA12" s="54"/>
      <c r="BB12" s="39"/>
      <c r="BC12" s="39"/>
      <c r="BD12" s="39"/>
      <c r="BE12" s="39"/>
      <c r="BF12" s="39"/>
      <c r="BG12" s="39"/>
      <c r="BH12" s="39"/>
      <c r="BI12" s="39"/>
      <c r="BJ12" s="39"/>
      <c r="BK12" s="39"/>
      <c r="BL12" s="39"/>
      <c r="BM12" s="39"/>
    </row>
    <row r="13" spans="1:65" ht="16" x14ac:dyDescent="0.2">
      <c r="A13" s="39"/>
      <c r="B13" s="39"/>
      <c r="C13" s="39"/>
      <c r="D13" s="39"/>
      <c r="E13" s="39"/>
      <c r="F13" s="39"/>
      <c r="G13" s="39"/>
      <c r="H13" s="39"/>
      <c r="I13" s="39"/>
      <c r="J13" s="39"/>
      <c r="K13" s="39"/>
      <c r="L13" s="39"/>
      <c r="M13" s="39"/>
      <c r="N13" s="39"/>
      <c r="O13" s="39"/>
      <c r="P13" s="39"/>
      <c r="Q13" s="39"/>
      <c r="R13" s="39"/>
      <c r="S13" s="39"/>
      <c r="T13" s="52" t="s">
        <v>36</v>
      </c>
      <c r="U13" s="55" t="s">
        <v>36</v>
      </c>
      <c r="V13" s="55" t="s">
        <v>36</v>
      </c>
      <c r="W13" s="55" t="s">
        <v>36</v>
      </c>
      <c r="X13" s="55" t="s">
        <v>36</v>
      </c>
      <c r="Y13" s="55" t="s">
        <v>36</v>
      </c>
      <c r="Z13" s="55" t="s">
        <v>36</v>
      </c>
      <c r="AA13" s="55" t="s">
        <v>36</v>
      </c>
      <c r="AB13" s="55" t="s">
        <v>36</v>
      </c>
      <c r="AC13" s="55" t="s">
        <v>36</v>
      </c>
      <c r="AD13" s="55" t="s">
        <v>36</v>
      </c>
      <c r="AE13" s="55" t="s">
        <v>36</v>
      </c>
      <c r="AF13" s="55" t="s">
        <v>36</v>
      </c>
      <c r="AG13" s="55" t="s">
        <v>36</v>
      </c>
      <c r="AH13" s="55" t="s">
        <v>36</v>
      </c>
      <c r="AI13" s="55" t="s">
        <v>36</v>
      </c>
      <c r="AJ13" s="55" t="s">
        <v>36</v>
      </c>
      <c r="AK13" s="53" t="s">
        <v>37</v>
      </c>
      <c r="AL13" s="55" t="s">
        <v>37</v>
      </c>
      <c r="AM13" s="55" t="s">
        <v>37</v>
      </c>
      <c r="AN13" s="55" t="s">
        <v>37</v>
      </c>
      <c r="AO13" s="55" t="s">
        <v>37</v>
      </c>
      <c r="AP13" s="55" t="s">
        <v>37</v>
      </c>
      <c r="AQ13" s="55" t="s">
        <v>37</v>
      </c>
      <c r="AR13" s="55" t="s">
        <v>37</v>
      </c>
      <c r="AS13" s="55" t="s">
        <v>37</v>
      </c>
      <c r="AT13" s="55" t="s">
        <v>37</v>
      </c>
      <c r="AU13" s="55" t="s">
        <v>37</v>
      </c>
      <c r="AV13" s="55" t="s">
        <v>37</v>
      </c>
      <c r="AW13" s="55" t="s">
        <v>37</v>
      </c>
      <c r="AX13" s="55" t="s">
        <v>37</v>
      </c>
      <c r="AY13" s="55" t="s">
        <v>37</v>
      </c>
      <c r="AZ13" s="55" t="s">
        <v>37</v>
      </c>
      <c r="BA13" s="56" t="s">
        <v>37</v>
      </c>
      <c r="BB13" s="39"/>
      <c r="BC13" s="39"/>
      <c r="BD13" s="39"/>
      <c r="BE13" s="39"/>
      <c r="BF13" s="39"/>
      <c r="BG13" s="39"/>
      <c r="BH13" s="39"/>
      <c r="BI13" s="39"/>
      <c r="BJ13" s="39"/>
      <c r="BK13" s="39"/>
      <c r="BL13" s="39"/>
      <c r="BM13" s="39"/>
    </row>
    <row r="14" spans="1:65" ht="16" x14ac:dyDescent="0.2">
      <c r="A14" s="57"/>
      <c r="B14" s="58" t="str">
        <f>IF(ISBLANK($B$10),"",$B$10)</f>
        <v>Liste 1</v>
      </c>
      <c r="C14" s="59" t="str">
        <f>IF(ISBLANK($C$10),"",$C$10)</f>
        <v>Liste 2</v>
      </c>
      <c r="D14" s="59" t="str">
        <f>IF(ISBLANK($D$10),"",$D$10)</f>
        <v>Liste 3</v>
      </c>
      <c r="E14" s="60" t="str">
        <f t="shared" ref="E14:R14" si="1">E10</f>
        <v>Liste 4</v>
      </c>
      <c r="F14" s="60" t="str">
        <f t="shared" si="1"/>
        <v>Liste 5</v>
      </c>
      <c r="G14" s="60" t="str">
        <f t="shared" si="1"/>
        <v>Liste 6</v>
      </c>
      <c r="H14" s="60" t="str">
        <f t="shared" si="1"/>
        <v>Liste 7</v>
      </c>
      <c r="I14" s="60" t="str">
        <f t="shared" si="1"/>
        <v>Liste 8</v>
      </c>
      <c r="J14" s="60" t="str">
        <f t="shared" si="1"/>
        <v>Liste 9</v>
      </c>
      <c r="K14" s="60" t="str">
        <f t="shared" si="1"/>
        <v>Liste 10</v>
      </c>
      <c r="L14" s="60" t="str">
        <f t="shared" si="1"/>
        <v>Liste 11</v>
      </c>
      <c r="M14" s="60" t="str">
        <f t="shared" si="1"/>
        <v>Liste 12</v>
      </c>
      <c r="N14" s="60" t="str">
        <f t="shared" si="1"/>
        <v>Liste 13</v>
      </c>
      <c r="O14" s="60" t="str">
        <f t="shared" si="1"/>
        <v>Liste 14</v>
      </c>
      <c r="P14" s="60" t="str">
        <f t="shared" si="1"/>
        <v>Liste 15</v>
      </c>
      <c r="Q14" s="60" t="str">
        <f t="shared" si="1"/>
        <v>Liste 16</v>
      </c>
      <c r="R14" s="60" t="str">
        <f t="shared" si="1"/>
        <v>Liste 17</v>
      </c>
      <c r="S14" s="111" t="s">
        <v>38</v>
      </c>
      <c r="T14" s="98" t="str">
        <f t="shared" ref="T14:AJ14" si="2">IF(ISBLANK(B$10),"",B$10)</f>
        <v>Liste 1</v>
      </c>
      <c r="U14" s="96" t="str">
        <f t="shared" si="2"/>
        <v>Liste 2</v>
      </c>
      <c r="V14" s="96" t="str">
        <f t="shared" si="2"/>
        <v>Liste 3</v>
      </c>
      <c r="W14" s="96" t="str">
        <f t="shared" si="2"/>
        <v>Liste 4</v>
      </c>
      <c r="X14" s="96" t="str">
        <f t="shared" si="2"/>
        <v>Liste 5</v>
      </c>
      <c r="Y14" s="96" t="str">
        <f t="shared" si="2"/>
        <v>Liste 6</v>
      </c>
      <c r="Z14" s="96" t="str">
        <f t="shared" si="2"/>
        <v>Liste 7</v>
      </c>
      <c r="AA14" s="96" t="str">
        <f t="shared" si="2"/>
        <v>Liste 8</v>
      </c>
      <c r="AB14" s="96" t="str">
        <f t="shared" si="2"/>
        <v>Liste 9</v>
      </c>
      <c r="AC14" s="96" t="str">
        <f t="shared" si="2"/>
        <v>Liste 10</v>
      </c>
      <c r="AD14" s="96" t="str">
        <f t="shared" si="2"/>
        <v>Liste 11</v>
      </c>
      <c r="AE14" s="96" t="str">
        <f t="shared" si="2"/>
        <v>Liste 12</v>
      </c>
      <c r="AF14" s="96" t="str">
        <f t="shared" si="2"/>
        <v>Liste 13</v>
      </c>
      <c r="AG14" s="96" t="str">
        <f t="shared" si="2"/>
        <v>Liste 14</v>
      </c>
      <c r="AH14" s="96" t="str">
        <f t="shared" si="2"/>
        <v>Liste 15</v>
      </c>
      <c r="AI14" s="96" t="str">
        <f t="shared" si="2"/>
        <v>Liste 16</v>
      </c>
      <c r="AJ14" s="113" t="str">
        <f t="shared" si="2"/>
        <v>Liste 17</v>
      </c>
      <c r="AK14" s="94" t="str">
        <f t="shared" ref="AK14:BA14" si="3">IF(ISBLANK(B$10),"",B$10)</f>
        <v>Liste 1</v>
      </c>
      <c r="AL14" s="96" t="str">
        <f t="shared" si="3"/>
        <v>Liste 2</v>
      </c>
      <c r="AM14" s="96" t="str">
        <f t="shared" si="3"/>
        <v>Liste 3</v>
      </c>
      <c r="AN14" s="98" t="str">
        <f t="shared" si="3"/>
        <v>Liste 4</v>
      </c>
      <c r="AO14" s="96" t="str">
        <f t="shared" si="3"/>
        <v>Liste 5</v>
      </c>
      <c r="AP14" s="96" t="str">
        <f t="shared" si="3"/>
        <v>Liste 6</v>
      </c>
      <c r="AQ14" s="98" t="str">
        <f t="shared" si="3"/>
        <v>Liste 7</v>
      </c>
      <c r="AR14" s="96" t="str">
        <f t="shared" si="3"/>
        <v>Liste 8</v>
      </c>
      <c r="AS14" s="96" t="str">
        <f t="shared" si="3"/>
        <v>Liste 9</v>
      </c>
      <c r="AT14" s="98" t="str">
        <f t="shared" si="3"/>
        <v>Liste 10</v>
      </c>
      <c r="AU14" s="96" t="str">
        <f t="shared" si="3"/>
        <v>Liste 11</v>
      </c>
      <c r="AV14" s="96" t="str">
        <f t="shared" si="3"/>
        <v>Liste 12</v>
      </c>
      <c r="AW14" s="96" t="str">
        <f t="shared" si="3"/>
        <v>Liste 13</v>
      </c>
      <c r="AX14" s="96" t="str">
        <f t="shared" si="3"/>
        <v>Liste 14</v>
      </c>
      <c r="AY14" s="96" t="str">
        <f t="shared" si="3"/>
        <v>Liste 15</v>
      </c>
      <c r="AZ14" s="96" t="str">
        <f t="shared" si="3"/>
        <v>Liste 16</v>
      </c>
      <c r="BA14" s="100" t="str">
        <f t="shared" si="3"/>
        <v>Liste 17</v>
      </c>
      <c r="BB14" s="39"/>
      <c r="BC14" s="39"/>
      <c r="BD14" s="39"/>
      <c r="BE14" s="39"/>
      <c r="BF14" s="39"/>
      <c r="BG14" s="39"/>
      <c r="BH14" s="39"/>
      <c r="BI14" s="39"/>
      <c r="BJ14" s="39"/>
      <c r="BK14" s="39"/>
      <c r="BL14" s="39"/>
      <c r="BM14" s="39"/>
    </row>
    <row r="15" spans="1:65" ht="16" x14ac:dyDescent="0.2">
      <c r="A15" s="61" t="s">
        <v>39</v>
      </c>
      <c r="B15" s="62" t="s">
        <v>40</v>
      </c>
      <c r="C15" s="63" t="s">
        <v>40</v>
      </c>
      <c r="D15" s="63" t="s">
        <v>40</v>
      </c>
      <c r="E15" s="62" t="s">
        <v>40</v>
      </c>
      <c r="F15" s="62" t="s">
        <v>40</v>
      </c>
      <c r="G15" s="62" t="s">
        <v>40</v>
      </c>
      <c r="H15" s="62" t="s">
        <v>40</v>
      </c>
      <c r="I15" s="62" t="s">
        <v>40</v>
      </c>
      <c r="J15" s="62" t="s">
        <v>40</v>
      </c>
      <c r="K15" s="62" t="s">
        <v>40</v>
      </c>
      <c r="L15" s="62" t="s">
        <v>40</v>
      </c>
      <c r="M15" s="62" t="s">
        <v>40</v>
      </c>
      <c r="N15" s="62" t="s">
        <v>40</v>
      </c>
      <c r="O15" s="62" t="s">
        <v>40</v>
      </c>
      <c r="P15" s="62" t="s">
        <v>40</v>
      </c>
      <c r="Q15" s="62" t="s">
        <v>40</v>
      </c>
      <c r="R15" s="62" t="s">
        <v>40</v>
      </c>
      <c r="S15" s="112"/>
      <c r="T15" s="99"/>
      <c r="U15" s="97"/>
      <c r="V15" s="97"/>
      <c r="W15" s="97"/>
      <c r="X15" s="97"/>
      <c r="Y15" s="97"/>
      <c r="Z15" s="97"/>
      <c r="AA15" s="97"/>
      <c r="AB15" s="97"/>
      <c r="AC15" s="97"/>
      <c r="AD15" s="97"/>
      <c r="AE15" s="97"/>
      <c r="AF15" s="97"/>
      <c r="AG15" s="97"/>
      <c r="AH15" s="97"/>
      <c r="AI15" s="97"/>
      <c r="AJ15" s="114"/>
      <c r="AK15" s="95"/>
      <c r="AL15" s="97"/>
      <c r="AM15" s="97"/>
      <c r="AN15" s="99"/>
      <c r="AO15" s="97"/>
      <c r="AP15" s="97"/>
      <c r="AQ15" s="99"/>
      <c r="AR15" s="97"/>
      <c r="AS15" s="97"/>
      <c r="AT15" s="99"/>
      <c r="AU15" s="97"/>
      <c r="AV15" s="97"/>
      <c r="AW15" s="97"/>
      <c r="AX15" s="97"/>
      <c r="AY15" s="97"/>
      <c r="AZ15" s="97"/>
      <c r="BA15" s="101"/>
      <c r="BB15" s="39"/>
      <c r="BC15" s="39"/>
      <c r="BD15" s="39"/>
      <c r="BE15" s="39"/>
      <c r="BF15" s="39"/>
      <c r="BG15" s="39"/>
      <c r="BH15" s="39"/>
      <c r="BI15" s="39"/>
      <c r="BJ15" s="39"/>
      <c r="BK15" s="39"/>
      <c r="BL15" s="39"/>
      <c r="BM15" s="39"/>
    </row>
    <row r="16" spans="1:65" ht="16" x14ac:dyDescent="0.2">
      <c r="A16" s="46"/>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4"/>
      <c r="AD16" s="64"/>
      <c r="AE16" s="64"/>
      <c r="AF16" s="64"/>
      <c r="AG16" s="64"/>
      <c r="AH16" s="64"/>
      <c r="AI16" s="64"/>
      <c r="AJ16" s="64"/>
      <c r="AK16" s="65"/>
      <c r="AL16" s="64"/>
      <c r="AM16" s="64"/>
      <c r="AN16" s="64"/>
      <c r="AO16" s="64"/>
      <c r="AP16" s="64"/>
      <c r="AQ16" s="64"/>
      <c r="AR16" s="64"/>
      <c r="AS16" s="64"/>
      <c r="AT16" s="39"/>
      <c r="AU16" s="39"/>
      <c r="AV16" s="39"/>
      <c r="AW16" s="39"/>
      <c r="AX16" s="39"/>
      <c r="AY16" s="39"/>
      <c r="AZ16" s="39"/>
      <c r="BA16" s="66"/>
      <c r="BB16" s="39"/>
      <c r="BC16" s="39"/>
      <c r="BD16" s="39"/>
      <c r="BE16" s="39"/>
      <c r="BF16" s="39"/>
      <c r="BG16" s="39"/>
      <c r="BH16" s="39"/>
      <c r="BI16" s="39"/>
      <c r="BJ16" s="39"/>
      <c r="BK16" s="39"/>
      <c r="BL16" s="39"/>
      <c r="BM16" s="39"/>
    </row>
    <row r="17" spans="1:65" ht="16" x14ac:dyDescent="0.2">
      <c r="A17" s="67">
        <v>1</v>
      </c>
      <c r="B17" s="68">
        <f t="shared" ref="B17:R17" si="4">B$12/(AK16+1)</f>
        <v>19</v>
      </c>
      <c r="C17" s="69">
        <f t="shared" si="4"/>
        <v>22</v>
      </c>
      <c r="D17" s="69">
        <f t="shared" si="4"/>
        <v>0</v>
      </c>
      <c r="E17" s="69">
        <f t="shared" si="4"/>
        <v>0</v>
      </c>
      <c r="F17" s="69">
        <f t="shared" si="4"/>
        <v>0</v>
      </c>
      <c r="G17" s="69">
        <f t="shared" si="4"/>
        <v>0</v>
      </c>
      <c r="H17" s="69">
        <f t="shared" si="4"/>
        <v>0</v>
      </c>
      <c r="I17" s="69">
        <f t="shared" si="4"/>
        <v>0</v>
      </c>
      <c r="J17" s="69">
        <f t="shared" si="4"/>
        <v>0</v>
      </c>
      <c r="K17" s="69">
        <f t="shared" si="4"/>
        <v>0</v>
      </c>
      <c r="L17" s="69">
        <f t="shared" si="4"/>
        <v>0</v>
      </c>
      <c r="M17" s="69">
        <f t="shared" si="4"/>
        <v>0</v>
      </c>
      <c r="N17" s="69">
        <f t="shared" si="4"/>
        <v>0</v>
      </c>
      <c r="O17" s="69">
        <f t="shared" si="4"/>
        <v>0</v>
      </c>
      <c r="P17" s="69">
        <f t="shared" si="4"/>
        <v>0</v>
      </c>
      <c r="Q17" s="69">
        <f t="shared" si="4"/>
        <v>0</v>
      </c>
      <c r="R17" s="70">
        <f t="shared" si="4"/>
        <v>0</v>
      </c>
      <c r="S17" s="71">
        <f t="shared" ref="S17:S181" si="5">MAX(B17:R17)</f>
        <v>22</v>
      </c>
      <c r="T17" s="72">
        <f t="shared" ref="T17:T181" si="6">IF(B17=S17,1,0)</f>
        <v>0</v>
      </c>
      <c r="U17" s="72">
        <f t="shared" ref="U17:U181" si="7">IF(T17=0,IF(C17=S17,1,0),0)</f>
        <v>1</v>
      </c>
      <c r="V17" s="72">
        <f t="shared" ref="V17:V181" si="8">IF(T17+U17=0,IF(D17=S17,1,0),0)</f>
        <v>0</v>
      </c>
      <c r="W17" s="72">
        <f t="shared" ref="W17:W181" si="9">IF(T17+U17+V17=0,IF(E17=S17,1,0),0)</f>
        <v>0</v>
      </c>
      <c r="X17" s="72">
        <f t="shared" ref="X17:X181" si="10">IF(T17+U17+V17+W17=0,IF(F17=S17,1,0),0)</f>
        <v>0</v>
      </c>
      <c r="Y17" s="72">
        <f t="shared" ref="Y17:Y181" si="11">IF(T17+U17+V17+W17+X17=0,IF(G17=S17,1,0),0)</f>
        <v>0</v>
      </c>
      <c r="Z17" s="72">
        <f t="shared" ref="Z17:Z181" si="12">IF(T17+U17+V17+W17+X17+Y17=0,IF(H17=S17,1,0),0)</f>
        <v>0</v>
      </c>
      <c r="AA17" s="72">
        <f t="shared" ref="AA17:AA181" si="13">IF(T17+U17+V17+W17+X17+Y17+Z17=0,IF(I17=S17,1,0),0)</f>
        <v>0</v>
      </c>
      <c r="AB17" s="72">
        <f t="shared" ref="AB17:AB181" si="14">IF(T17+U17+V17+W17+X17+Y17+Z17+AA17=0,IF(J17=S17,1,0),0)</f>
        <v>0</v>
      </c>
      <c r="AC17" s="72">
        <f t="shared" ref="AC17:AC181" si="15">IF(T17+U17+V17+W17+X17+Y17+Z17+AA17+AB17=0,IF(K17=S17,1,0),0)</f>
        <v>0</v>
      </c>
      <c r="AD17" s="72">
        <f t="shared" ref="AD17:AD181" si="16">IF(T17+U17+V17+W17+X17+Y17+Z17+AA17+AB17+AC17=0,IF(L17=S17,1,0),0)</f>
        <v>0</v>
      </c>
      <c r="AE17" s="72">
        <f t="shared" ref="AE17:AE181" si="17">IF(T17+U17+V17+W17+X17+Y17+Z17+AA17+AB17+AC17+AD17=0,IF(M17=S17,1,0),0)</f>
        <v>0</v>
      </c>
      <c r="AF17" s="72">
        <f t="shared" ref="AF17:AF181" si="18">IF(T17+U17+V17+W17+X17+Y17+Z17+AA17+AB17+AC17+AD17+AE17=0,IF(N17=S17,1,0),0)</f>
        <v>0</v>
      </c>
      <c r="AG17" s="72">
        <f t="shared" ref="AG17:AG181" si="19">IF(T17+U17+V17+W17+X17+Y17+Z17+AA17+AB17+AC17+AD17+AE17+AF17=0,IF(O17=S17,1,0),0)</f>
        <v>0</v>
      </c>
      <c r="AH17" s="72">
        <f t="shared" ref="AH17:AH181" si="20">IF(T17+U17+V17+W17+X17+Y17+Z17+AA17+AB17+AC17+AD17+AE17+AF17+AG17=0,IF(P17=S17,1,0),0)</f>
        <v>0</v>
      </c>
      <c r="AI17" s="72">
        <f t="shared" ref="AI17:AI181" si="21">IF(T17+U17+V17+W17+X17+Y17+Z17+AA17+AB17+AC17+AD17+AE17+AF17+AG17+AH17=0,IF(Q17=S17,1,0),0)</f>
        <v>0</v>
      </c>
      <c r="AJ17" s="73">
        <f t="shared" ref="AJ17:AJ181" si="22">IF(T17+U17+V17+W17+X17+Y17+Z17+AA17+AB17+AC17+AD17+AE17+AF17+AG17+AH17+AI17=0,IF(R17=S17,1,0),0)</f>
        <v>0</v>
      </c>
      <c r="AK17" s="74">
        <f t="shared" ref="AK17:BA17" si="23">T17+AK16</f>
        <v>0</v>
      </c>
      <c r="AL17" s="75">
        <f t="shared" si="23"/>
        <v>1</v>
      </c>
      <c r="AM17" s="75">
        <f t="shared" si="23"/>
        <v>0</v>
      </c>
      <c r="AN17" s="75">
        <f t="shared" si="23"/>
        <v>0</v>
      </c>
      <c r="AO17" s="75">
        <f t="shared" si="23"/>
        <v>0</v>
      </c>
      <c r="AP17" s="75">
        <f t="shared" si="23"/>
        <v>0</v>
      </c>
      <c r="AQ17" s="75">
        <f t="shared" si="23"/>
        <v>0</v>
      </c>
      <c r="AR17" s="75">
        <f t="shared" si="23"/>
        <v>0</v>
      </c>
      <c r="AS17" s="75">
        <f t="shared" si="23"/>
        <v>0</v>
      </c>
      <c r="AT17" s="75">
        <f t="shared" si="23"/>
        <v>0</v>
      </c>
      <c r="AU17" s="75">
        <f t="shared" si="23"/>
        <v>0</v>
      </c>
      <c r="AV17" s="75">
        <f t="shared" si="23"/>
        <v>0</v>
      </c>
      <c r="AW17" s="75">
        <f t="shared" si="23"/>
        <v>0</v>
      </c>
      <c r="AX17" s="75">
        <f t="shared" si="23"/>
        <v>0</v>
      </c>
      <c r="AY17" s="75">
        <f t="shared" si="23"/>
        <v>0</v>
      </c>
      <c r="AZ17" s="75">
        <f t="shared" si="23"/>
        <v>0</v>
      </c>
      <c r="BA17" s="76">
        <f t="shared" si="23"/>
        <v>0</v>
      </c>
      <c r="BB17" s="39" t="str">
        <f t="shared" ref="BB17:BB181" si="24">INDEX($T$14:$AJ$15,1,MATCH(1,T17:BA17,0))</f>
        <v>Liste 2</v>
      </c>
      <c r="BC17" s="39"/>
      <c r="BD17" s="39"/>
      <c r="BE17" s="39"/>
      <c r="BF17" s="39"/>
      <c r="BG17" s="39"/>
      <c r="BH17" s="39"/>
      <c r="BI17" s="39"/>
      <c r="BJ17" s="39"/>
      <c r="BK17" s="39"/>
      <c r="BL17" s="39"/>
      <c r="BM17" s="39"/>
    </row>
    <row r="18" spans="1:65" ht="16" x14ac:dyDescent="0.2">
      <c r="A18" s="77">
        <v>2</v>
      </c>
      <c r="B18" s="78">
        <f t="shared" ref="B18:R18" si="25">B$12/(AK17+1)</f>
        <v>19</v>
      </c>
      <c r="C18" s="78">
        <f t="shared" si="25"/>
        <v>11</v>
      </c>
      <c r="D18" s="78">
        <f t="shared" si="25"/>
        <v>0</v>
      </c>
      <c r="E18" s="78">
        <f t="shared" si="25"/>
        <v>0</v>
      </c>
      <c r="F18" s="78">
        <f t="shared" si="25"/>
        <v>0</v>
      </c>
      <c r="G18" s="78">
        <f t="shared" si="25"/>
        <v>0</v>
      </c>
      <c r="H18" s="78">
        <f t="shared" si="25"/>
        <v>0</v>
      </c>
      <c r="I18" s="78">
        <f t="shared" si="25"/>
        <v>0</v>
      </c>
      <c r="J18" s="78">
        <f t="shared" si="25"/>
        <v>0</v>
      </c>
      <c r="K18" s="78">
        <f t="shared" si="25"/>
        <v>0</v>
      </c>
      <c r="L18" s="78">
        <f t="shared" si="25"/>
        <v>0</v>
      </c>
      <c r="M18" s="78">
        <f t="shared" si="25"/>
        <v>0</v>
      </c>
      <c r="N18" s="78">
        <f t="shared" si="25"/>
        <v>0</v>
      </c>
      <c r="O18" s="78">
        <f t="shared" si="25"/>
        <v>0</v>
      </c>
      <c r="P18" s="78">
        <f t="shared" si="25"/>
        <v>0</v>
      </c>
      <c r="Q18" s="78">
        <f t="shared" si="25"/>
        <v>0</v>
      </c>
      <c r="R18" s="79">
        <f t="shared" si="25"/>
        <v>0</v>
      </c>
      <c r="S18" s="79">
        <f t="shared" si="5"/>
        <v>19</v>
      </c>
      <c r="T18" s="80">
        <f t="shared" si="6"/>
        <v>1</v>
      </c>
      <c r="U18" s="80">
        <f t="shared" si="7"/>
        <v>0</v>
      </c>
      <c r="V18" s="80">
        <f t="shared" si="8"/>
        <v>0</v>
      </c>
      <c r="W18" s="80">
        <f t="shared" si="9"/>
        <v>0</v>
      </c>
      <c r="X18" s="80">
        <f t="shared" si="10"/>
        <v>0</v>
      </c>
      <c r="Y18" s="80">
        <f t="shared" si="11"/>
        <v>0</v>
      </c>
      <c r="Z18" s="80">
        <f t="shared" si="12"/>
        <v>0</v>
      </c>
      <c r="AA18" s="80">
        <f t="shared" si="13"/>
        <v>0</v>
      </c>
      <c r="AB18" s="80">
        <f t="shared" si="14"/>
        <v>0</v>
      </c>
      <c r="AC18" s="80">
        <f t="shared" si="15"/>
        <v>0</v>
      </c>
      <c r="AD18" s="80">
        <f t="shared" si="16"/>
        <v>0</v>
      </c>
      <c r="AE18" s="80">
        <f t="shared" si="17"/>
        <v>0</v>
      </c>
      <c r="AF18" s="80">
        <f t="shared" si="18"/>
        <v>0</v>
      </c>
      <c r="AG18" s="80">
        <f t="shared" si="19"/>
        <v>0</v>
      </c>
      <c r="AH18" s="80">
        <f t="shared" si="20"/>
        <v>0</v>
      </c>
      <c r="AI18" s="80">
        <f t="shared" si="21"/>
        <v>0</v>
      </c>
      <c r="AJ18" s="80">
        <f t="shared" si="22"/>
        <v>0</v>
      </c>
      <c r="AK18" s="80">
        <f t="shared" ref="AK18:BA18" si="26">T18+AK17</f>
        <v>1</v>
      </c>
      <c r="AL18" s="81">
        <f t="shared" si="26"/>
        <v>1</v>
      </c>
      <c r="AM18" s="81">
        <f t="shared" si="26"/>
        <v>0</v>
      </c>
      <c r="AN18" s="81">
        <f t="shared" si="26"/>
        <v>0</v>
      </c>
      <c r="AO18" s="81">
        <f t="shared" si="26"/>
        <v>0</v>
      </c>
      <c r="AP18" s="81">
        <f t="shared" si="26"/>
        <v>0</v>
      </c>
      <c r="AQ18" s="81">
        <f t="shared" si="26"/>
        <v>0</v>
      </c>
      <c r="AR18" s="81">
        <f t="shared" si="26"/>
        <v>0</v>
      </c>
      <c r="AS18" s="81">
        <f t="shared" si="26"/>
        <v>0</v>
      </c>
      <c r="AT18" s="81">
        <f t="shared" si="26"/>
        <v>0</v>
      </c>
      <c r="AU18" s="81">
        <f t="shared" si="26"/>
        <v>0</v>
      </c>
      <c r="AV18" s="81">
        <f t="shared" si="26"/>
        <v>0</v>
      </c>
      <c r="AW18" s="81">
        <f t="shared" si="26"/>
        <v>0</v>
      </c>
      <c r="AX18" s="81">
        <f t="shared" si="26"/>
        <v>0</v>
      </c>
      <c r="AY18" s="81">
        <f t="shared" si="26"/>
        <v>0</v>
      </c>
      <c r="AZ18" s="81">
        <f t="shared" si="26"/>
        <v>0</v>
      </c>
      <c r="BA18" s="82">
        <f t="shared" si="26"/>
        <v>0</v>
      </c>
      <c r="BB18" s="39" t="str">
        <f t="shared" si="24"/>
        <v>Liste 1</v>
      </c>
      <c r="BC18" s="39"/>
      <c r="BD18" s="39"/>
      <c r="BE18" s="39"/>
      <c r="BF18" s="39"/>
      <c r="BG18" s="39"/>
      <c r="BH18" s="39"/>
      <c r="BI18" s="39"/>
      <c r="BJ18" s="39"/>
      <c r="BK18" s="39"/>
      <c r="BL18" s="39"/>
      <c r="BM18" s="39"/>
    </row>
    <row r="19" spans="1:65" ht="16" x14ac:dyDescent="0.2">
      <c r="A19" s="77">
        <v>3</v>
      </c>
      <c r="B19" s="78">
        <f t="shared" ref="B19:R19" si="27">B$12/(AK18+1)</f>
        <v>9.5</v>
      </c>
      <c r="C19" s="78">
        <f t="shared" si="27"/>
        <v>11</v>
      </c>
      <c r="D19" s="78">
        <f t="shared" si="27"/>
        <v>0</v>
      </c>
      <c r="E19" s="78">
        <f t="shared" si="27"/>
        <v>0</v>
      </c>
      <c r="F19" s="78">
        <f t="shared" si="27"/>
        <v>0</v>
      </c>
      <c r="G19" s="78">
        <f t="shared" si="27"/>
        <v>0</v>
      </c>
      <c r="H19" s="78">
        <f t="shared" si="27"/>
        <v>0</v>
      </c>
      <c r="I19" s="78">
        <f t="shared" si="27"/>
        <v>0</v>
      </c>
      <c r="J19" s="78">
        <f t="shared" si="27"/>
        <v>0</v>
      </c>
      <c r="K19" s="78">
        <f t="shared" si="27"/>
        <v>0</v>
      </c>
      <c r="L19" s="78">
        <f t="shared" si="27"/>
        <v>0</v>
      </c>
      <c r="M19" s="78">
        <f t="shared" si="27"/>
        <v>0</v>
      </c>
      <c r="N19" s="78">
        <f t="shared" si="27"/>
        <v>0</v>
      </c>
      <c r="O19" s="78">
        <f t="shared" si="27"/>
        <v>0</v>
      </c>
      <c r="P19" s="78">
        <f t="shared" si="27"/>
        <v>0</v>
      </c>
      <c r="Q19" s="78">
        <f t="shared" si="27"/>
        <v>0</v>
      </c>
      <c r="R19" s="79">
        <f t="shared" si="27"/>
        <v>0</v>
      </c>
      <c r="S19" s="79">
        <f t="shared" si="5"/>
        <v>11</v>
      </c>
      <c r="T19" s="80">
        <f t="shared" si="6"/>
        <v>0</v>
      </c>
      <c r="U19" s="80">
        <f t="shared" si="7"/>
        <v>1</v>
      </c>
      <c r="V19" s="80">
        <f t="shared" si="8"/>
        <v>0</v>
      </c>
      <c r="W19" s="80">
        <f t="shared" si="9"/>
        <v>0</v>
      </c>
      <c r="X19" s="80">
        <f t="shared" si="10"/>
        <v>0</v>
      </c>
      <c r="Y19" s="80">
        <f t="shared" si="11"/>
        <v>0</v>
      </c>
      <c r="Z19" s="80">
        <f t="shared" si="12"/>
        <v>0</v>
      </c>
      <c r="AA19" s="80">
        <f t="shared" si="13"/>
        <v>0</v>
      </c>
      <c r="AB19" s="80">
        <f t="shared" si="14"/>
        <v>0</v>
      </c>
      <c r="AC19" s="80">
        <f t="shared" si="15"/>
        <v>0</v>
      </c>
      <c r="AD19" s="80">
        <f t="shared" si="16"/>
        <v>0</v>
      </c>
      <c r="AE19" s="80">
        <f t="shared" si="17"/>
        <v>0</v>
      </c>
      <c r="AF19" s="80">
        <f t="shared" si="18"/>
        <v>0</v>
      </c>
      <c r="AG19" s="80">
        <f t="shared" si="19"/>
        <v>0</v>
      </c>
      <c r="AH19" s="80">
        <f t="shared" si="20"/>
        <v>0</v>
      </c>
      <c r="AI19" s="80">
        <f t="shared" si="21"/>
        <v>0</v>
      </c>
      <c r="AJ19" s="80">
        <f t="shared" si="22"/>
        <v>0</v>
      </c>
      <c r="AK19" s="80">
        <f t="shared" ref="AK19:BA19" si="28">T19+AK18</f>
        <v>1</v>
      </c>
      <c r="AL19" s="81">
        <f t="shared" si="28"/>
        <v>2</v>
      </c>
      <c r="AM19" s="81">
        <f t="shared" si="28"/>
        <v>0</v>
      </c>
      <c r="AN19" s="81">
        <f t="shared" si="28"/>
        <v>0</v>
      </c>
      <c r="AO19" s="81">
        <f t="shared" si="28"/>
        <v>0</v>
      </c>
      <c r="AP19" s="81">
        <f t="shared" si="28"/>
        <v>0</v>
      </c>
      <c r="AQ19" s="81">
        <f t="shared" si="28"/>
        <v>0</v>
      </c>
      <c r="AR19" s="81">
        <f t="shared" si="28"/>
        <v>0</v>
      </c>
      <c r="AS19" s="81">
        <f t="shared" si="28"/>
        <v>0</v>
      </c>
      <c r="AT19" s="81">
        <f t="shared" si="28"/>
        <v>0</v>
      </c>
      <c r="AU19" s="81">
        <f t="shared" si="28"/>
        <v>0</v>
      </c>
      <c r="AV19" s="81">
        <f t="shared" si="28"/>
        <v>0</v>
      </c>
      <c r="AW19" s="81">
        <f t="shared" si="28"/>
        <v>0</v>
      </c>
      <c r="AX19" s="81">
        <f t="shared" si="28"/>
        <v>0</v>
      </c>
      <c r="AY19" s="81">
        <f t="shared" si="28"/>
        <v>0</v>
      </c>
      <c r="AZ19" s="81">
        <f t="shared" si="28"/>
        <v>0</v>
      </c>
      <c r="BA19" s="82">
        <f t="shared" si="28"/>
        <v>0</v>
      </c>
      <c r="BB19" s="39" t="str">
        <f t="shared" si="24"/>
        <v>Liste 2</v>
      </c>
      <c r="BC19" s="39"/>
      <c r="BD19" s="39"/>
      <c r="BE19" s="39"/>
      <c r="BF19" s="39"/>
      <c r="BG19" s="39"/>
      <c r="BH19" s="39"/>
      <c r="BI19" s="39"/>
      <c r="BJ19" s="39"/>
      <c r="BK19" s="39"/>
      <c r="BL19" s="39"/>
      <c r="BM19" s="39"/>
    </row>
    <row r="20" spans="1:65" ht="16" x14ac:dyDescent="0.2">
      <c r="A20" s="77">
        <v>4</v>
      </c>
      <c r="B20" s="78">
        <f t="shared" ref="B20:R20" si="29">B$12/(AK19+1)</f>
        <v>9.5</v>
      </c>
      <c r="C20" s="78">
        <f t="shared" si="29"/>
        <v>7.333333333333333</v>
      </c>
      <c r="D20" s="78">
        <f t="shared" si="29"/>
        <v>0</v>
      </c>
      <c r="E20" s="78">
        <f t="shared" si="29"/>
        <v>0</v>
      </c>
      <c r="F20" s="78">
        <f t="shared" si="29"/>
        <v>0</v>
      </c>
      <c r="G20" s="78">
        <f t="shared" si="29"/>
        <v>0</v>
      </c>
      <c r="H20" s="78">
        <f t="shared" si="29"/>
        <v>0</v>
      </c>
      <c r="I20" s="78">
        <f t="shared" si="29"/>
        <v>0</v>
      </c>
      <c r="J20" s="78">
        <f t="shared" si="29"/>
        <v>0</v>
      </c>
      <c r="K20" s="78">
        <f t="shared" si="29"/>
        <v>0</v>
      </c>
      <c r="L20" s="78">
        <f t="shared" si="29"/>
        <v>0</v>
      </c>
      <c r="M20" s="78">
        <f t="shared" si="29"/>
        <v>0</v>
      </c>
      <c r="N20" s="78">
        <f t="shared" si="29"/>
        <v>0</v>
      </c>
      <c r="O20" s="78">
        <f t="shared" si="29"/>
        <v>0</v>
      </c>
      <c r="P20" s="78">
        <f t="shared" si="29"/>
        <v>0</v>
      </c>
      <c r="Q20" s="78">
        <f t="shared" si="29"/>
        <v>0</v>
      </c>
      <c r="R20" s="79">
        <f t="shared" si="29"/>
        <v>0</v>
      </c>
      <c r="S20" s="79">
        <f t="shared" si="5"/>
        <v>9.5</v>
      </c>
      <c r="T20" s="80">
        <f t="shared" si="6"/>
        <v>1</v>
      </c>
      <c r="U20" s="80">
        <f t="shared" si="7"/>
        <v>0</v>
      </c>
      <c r="V20" s="80">
        <f t="shared" si="8"/>
        <v>0</v>
      </c>
      <c r="W20" s="80">
        <f t="shared" si="9"/>
        <v>0</v>
      </c>
      <c r="X20" s="80">
        <f t="shared" si="10"/>
        <v>0</v>
      </c>
      <c r="Y20" s="80">
        <f t="shared" si="11"/>
        <v>0</v>
      </c>
      <c r="Z20" s="80">
        <f t="shared" si="12"/>
        <v>0</v>
      </c>
      <c r="AA20" s="80">
        <f t="shared" si="13"/>
        <v>0</v>
      </c>
      <c r="AB20" s="80">
        <f t="shared" si="14"/>
        <v>0</v>
      </c>
      <c r="AC20" s="80">
        <f t="shared" si="15"/>
        <v>0</v>
      </c>
      <c r="AD20" s="80">
        <f t="shared" si="16"/>
        <v>0</v>
      </c>
      <c r="AE20" s="80">
        <f t="shared" si="17"/>
        <v>0</v>
      </c>
      <c r="AF20" s="80">
        <f t="shared" si="18"/>
        <v>0</v>
      </c>
      <c r="AG20" s="80">
        <f t="shared" si="19"/>
        <v>0</v>
      </c>
      <c r="AH20" s="80">
        <f t="shared" si="20"/>
        <v>0</v>
      </c>
      <c r="AI20" s="80">
        <f t="shared" si="21"/>
        <v>0</v>
      </c>
      <c r="AJ20" s="80">
        <f t="shared" si="22"/>
        <v>0</v>
      </c>
      <c r="AK20" s="80">
        <f t="shared" ref="AK20:BA20" si="30">T20+AK19</f>
        <v>2</v>
      </c>
      <c r="AL20" s="81">
        <f t="shared" si="30"/>
        <v>2</v>
      </c>
      <c r="AM20" s="81">
        <f t="shared" si="30"/>
        <v>0</v>
      </c>
      <c r="AN20" s="81">
        <f t="shared" si="30"/>
        <v>0</v>
      </c>
      <c r="AO20" s="81">
        <f t="shared" si="30"/>
        <v>0</v>
      </c>
      <c r="AP20" s="81">
        <f t="shared" si="30"/>
        <v>0</v>
      </c>
      <c r="AQ20" s="81">
        <f t="shared" si="30"/>
        <v>0</v>
      </c>
      <c r="AR20" s="81">
        <f t="shared" si="30"/>
        <v>0</v>
      </c>
      <c r="AS20" s="81">
        <f t="shared" si="30"/>
        <v>0</v>
      </c>
      <c r="AT20" s="81">
        <f t="shared" si="30"/>
        <v>0</v>
      </c>
      <c r="AU20" s="81">
        <f t="shared" si="30"/>
        <v>0</v>
      </c>
      <c r="AV20" s="81">
        <f t="shared" si="30"/>
        <v>0</v>
      </c>
      <c r="AW20" s="81">
        <f t="shared" si="30"/>
        <v>0</v>
      </c>
      <c r="AX20" s="81">
        <f t="shared" si="30"/>
        <v>0</v>
      </c>
      <c r="AY20" s="81">
        <f t="shared" si="30"/>
        <v>0</v>
      </c>
      <c r="AZ20" s="81">
        <f t="shared" si="30"/>
        <v>0</v>
      </c>
      <c r="BA20" s="82">
        <f t="shared" si="30"/>
        <v>0</v>
      </c>
      <c r="BB20" s="39" t="str">
        <f t="shared" si="24"/>
        <v>Liste 1</v>
      </c>
      <c r="BC20" s="39"/>
      <c r="BD20" s="39"/>
      <c r="BE20" s="39"/>
      <c r="BF20" s="39"/>
      <c r="BG20" s="39"/>
      <c r="BH20" s="39"/>
      <c r="BI20" s="39"/>
      <c r="BJ20" s="39"/>
      <c r="BK20" s="39"/>
      <c r="BL20" s="39"/>
      <c r="BM20" s="39"/>
    </row>
    <row r="21" spans="1:65" ht="16" x14ac:dyDescent="0.2">
      <c r="A21" s="77">
        <v>5</v>
      </c>
      <c r="B21" s="78">
        <f t="shared" ref="B21:R21" si="31">B$12/(AK20+1)</f>
        <v>6.333333333333333</v>
      </c>
      <c r="C21" s="78">
        <f t="shared" si="31"/>
        <v>7.333333333333333</v>
      </c>
      <c r="D21" s="78">
        <f t="shared" si="31"/>
        <v>0</v>
      </c>
      <c r="E21" s="78">
        <f t="shared" si="31"/>
        <v>0</v>
      </c>
      <c r="F21" s="78">
        <f t="shared" si="31"/>
        <v>0</v>
      </c>
      <c r="G21" s="78">
        <f t="shared" si="31"/>
        <v>0</v>
      </c>
      <c r="H21" s="78">
        <f t="shared" si="31"/>
        <v>0</v>
      </c>
      <c r="I21" s="78">
        <f t="shared" si="31"/>
        <v>0</v>
      </c>
      <c r="J21" s="78">
        <f t="shared" si="31"/>
        <v>0</v>
      </c>
      <c r="K21" s="78">
        <f t="shared" si="31"/>
        <v>0</v>
      </c>
      <c r="L21" s="78">
        <f t="shared" si="31"/>
        <v>0</v>
      </c>
      <c r="M21" s="78">
        <f t="shared" si="31"/>
        <v>0</v>
      </c>
      <c r="N21" s="78">
        <f t="shared" si="31"/>
        <v>0</v>
      </c>
      <c r="O21" s="78">
        <f t="shared" si="31"/>
        <v>0</v>
      </c>
      <c r="P21" s="78">
        <f t="shared" si="31"/>
        <v>0</v>
      </c>
      <c r="Q21" s="78">
        <f t="shared" si="31"/>
        <v>0</v>
      </c>
      <c r="R21" s="79">
        <f t="shared" si="31"/>
        <v>0</v>
      </c>
      <c r="S21" s="79">
        <f t="shared" si="5"/>
        <v>7.333333333333333</v>
      </c>
      <c r="T21" s="80">
        <f t="shared" si="6"/>
        <v>0</v>
      </c>
      <c r="U21" s="80">
        <f t="shared" si="7"/>
        <v>1</v>
      </c>
      <c r="V21" s="80">
        <f t="shared" si="8"/>
        <v>0</v>
      </c>
      <c r="W21" s="80">
        <f t="shared" si="9"/>
        <v>0</v>
      </c>
      <c r="X21" s="80">
        <f t="shared" si="10"/>
        <v>0</v>
      </c>
      <c r="Y21" s="80">
        <f t="shared" si="11"/>
        <v>0</v>
      </c>
      <c r="Z21" s="80">
        <f t="shared" si="12"/>
        <v>0</v>
      </c>
      <c r="AA21" s="80">
        <f t="shared" si="13"/>
        <v>0</v>
      </c>
      <c r="AB21" s="80">
        <f t="shared" si="14"/>
        <v>0</v>
      </c>
      <c r="AC21" s="80">
        <f t="shared" si="15"/>
        <v>0</v>
      </c>
      <c r="AD21" s="80">
        <f t="shared" si="16"/>
        <v>0</v>
      </c>
      <c r="AE21" s="80">
        <f t="shared" si="17"/>
        <v>0</v>
      </c>
      <c r="AF21" s="80">
        <f t="shared" si="18"/>
        <v>0</v>
      </c>
      <c r="AG21" s="80">
        <f t="shared" si="19"/>
        <v>0</v>
      </c>
      <c r="AH21" s="80">
        <f t="shared" si="20"/>
        <v>0</v>
      </c>
      <c r="AI21" s="80">
        <f t="shared" si="21"/>
        <v>0</v>
      </c>
      <c r="AJ21" s="80">
        <f t="shared" si="22"/>
        <v>0</v>
      </c>
      <c r="AK21" s="80">
        <f t="shared" ref="AK21:BA21" si="32">T21+AK20</f>
        <v>2</v>
      </c>
      <c r="AL21" s="81">
        <f t="shared" si="32"/>
        <v>3</v>
      </c>
      <c r="AM21" s="81">
        <f t="shared" si="32"/>
        <v>0</v>
      </c>
      <c r="AN21" s="81">
        <f t="shared" si="32"/>
        <v>0</v>
      </c>
      <c r="AO21" s="81">
        <f t="shared" si="32"/>
        <v>0</v>
      </c>
      <c r="AP21" s="81">
        <f t="shared" si="32"/>
        <v>0</v>
      </c>
      <c r="AQ21" s="81">
        <f t="shared" si="32"/>
        <v>0</v>
      </c>
      <c r="AR21" s="81">
        <f t="shared" si="32"/>
        <v>0</v>
      </c>
      <c r="AS21" s="81">
        <f t="shared" si="32"/>
        <v>0</v>
      </c>
      <c r="AT21" s="81">
        <f t="shared" si="32"/>
        <v>0</v>
      </c>
      <c r="AU21" s="81">
        <f t="shared" si="32"/>
        <v>0</v>
      </c>
      <c r="AV21" s="81">
        <f t="shared" si="32"/>
        <v>0</v>
      </c>
      <c r="AW21" s="81">
        <f t="shared" si="32"/>
        <v>0</v>
      </c>
      <c r="AX21" s="81">
        <f t="shared" si="32"/>
        <v>0</v>
      </c>
      <c r="AY21" s="81">
        <f t="shared" si="32"/>
        <v>0</v>
      </c>
      <c r="AZ21" s="81">
        <f t="shared" si="32"/>
        <v>0</v>
      </c>
      <c r="BA21" s="82">
        <f t="shared" si="32"/>
        <v>0</v>
      </c>
      <c r="BB21" s="39" t="str">
        <f t="shared" si="24"/>
        <v>Liste 2</v>
      </c>
      <c r="BC21" s="39"/>
      <c r="BD21" s="39"/>
      <c r="BE21" s="39"/>
      <c r="BF21" s="39"/>
      <c r="BG21" s="39"/>
      <c r="BH21" s="39"/>
      <c r="BI21" s="39"/>
      <c r="BJ21" s="39"/>
      <c r="BK21" s="39"/>
      <c r="BL21" s="39"/>
      <c r="BM21" s="39"/>
    </row>
    <row r="22" spans="1:65" ht="16" x14ac:dyDescent="0.2">
      <c r="A22" s="77">
        <v>6</v>
      </c>
      <c r="B22" s="78">
        <f t="shared" ref="B22:R22" si="33">B$12/(AK21+1)</f>
        <v>6.333333333333333</v>
      </c>
      <c r="C22" s="78">
        <f t="shared" si="33"/>
        <v>5.5</v>
      </c>
      <c r="D22" s="78">
        <f t="shared" si="33"/>
        <v>0</v>
      </c>
      <c r="E22" s="78">
        <f t="shared" si="33"/>
        <v>0</v>
      </c>
      <c r="F22" s="78">
        <f t="shared" si="33"/>
        <v>0</v>
      </c>
      <c r="G22" s="78">
        <f t="shared" si="33"/>
        <v>0</v>
      </c>
      <c r="H22" s="78">
        <f t="shared" si="33"/>
        <v>0</v>
      </c>
      <c r="I22" s="78">
        <f t="shared" si="33"/>
        <v>0</v>
      </c>
      <c r="J22" s="78">
        <f t="shared" si="33"/>
        <v>0</v>
      </c>
      <c r="K22" s="78">
        <f t="shared" si="33"/>
        <v>0</v>
      </c>
      <c r="L22" s="78">
        <f t="shared" si="33"/>
        <v>0</v>
      </c>
      <c r="M22" s="78">
        <f t="shared" si="33"/>
        <v>0</v>
      </c>
      <c r="N22" s="78">
        <f t="shared" si="33"/>
        <v>0</v>
      </c>
      <c r="O22" s="78">
        <f t="shared" si="33"/>
        <v>0</v>
      </c>
      <c r="P22" s="78">
        <f t="shared" si="33"/>
        <v>0</v>
      </c>
      <c r="Q22" s="78">
        <f t="shared" si="33"/>
        <v>0</v>
      </c>
      <c r="R22" s="79">
        <f t="shared" si="33"/>
        <v>0</v>
      </c>
      <c r="S22" s="79">
        <f t="shared" si="5"/>
        <v>6.333333333333333</v>
      </c>
      <c r="T22" s="80">
        <f t="shared" si="6"/>
        <v>1</v>
      </c>
      <c r="U22" s="80">
        <f t="shared" si="7"/>
        <v>0</v>
      </c>
      <c r="V22" s="80">
        <f t="shared" si="8"/>
        <v>0</v>
      </c>
      <c r="W22" s="80">
        <f t="shared" si="9"/>
        <v>0</v>
      </c>
      <c r="X22" s="80">
        <f t="shared" si="10"/>
        <v>0</v>
      </c>
      <c r="Y22" s="80">
        <f t="shared" si="11"/>
        <v>0</v>
      </c>
      <c r="Z22" s="80">
        <f t="shared" si="12"/>
        <v>0</v>
      </c>
      <c r="AA22" s="80">
        <f t="shared" si="13"/>
        <v>0</v>
      </c>
      <c r="AB22" s="80">
        <f t="shared" si="14"/>
        <v>0</v>
      </c>
      <c r="AC22" s="80">
        <f t="shared" si="15"/>
        <v>0</v>
      </c>
      <c r="AD22" s="80">
        <f t="shared" si="16"/>
        <v>0</v>
      </c>
      <c r="AE22" s="80">
        <f t="shared" si="17"/>
        <v>0</v>
      </c>
      <c r="AF22" s="80">
        <f t="shared" si="18"/>
        <v>0</v>
      </c>
      <c r="AG22" s="80">
        <f t="shared" si="19"/>
        <v>0</v>
      </c>
      <c r="AH22" s="80">
        <f t="shared" si="20"/>
        <v>0</v>
      </c>
      <c r="AI22" s="80">
        <f t="shared" si="21"/>
        <v>0</v>
      </c>
      <c r="AJ22" s="80">
        <f t="shared" si="22"/>
        <v>0</v>
      </c>
      <c r="AK22" s="80">
        <f t="shared" ref="AK22:BA22" si="34">T22+AK21</f>
        <v>3</v>
      </c>
      <c r="AL22" s="81">
        <f t="shared" si="34"/>
        <v>3</v>
      </c>
      <c r="AM22" s="81">
        <f t="shared" si="34"/>
        <v>0</v>
      </c>
      <c r="AN22" s="81">
        <f t="shared" si="34"/>
        <v>0</v>
      </c>
      <c r="AO22" s="81">
        <f t="shared" si="34"/>
        <v>0</v>
      </c>
      <c r="AP22" s="81">
        <f t="shared" si="34"/>
        <v>0</v>
      </c>
      <c r="AQ22" s="81">
        <f t="shared" si="34"/>
        <v>0</v>
      </c>
      <c r="AR22" s="81">
        <f t="shared" si="34"/>
        <v>0</v>
      </c>
      <c r="AS22" s="81">
        <f t="shared" si="34"/>
        <v>0</v>
      </c>
      <c r="AT22" s="81">
        <f t="shared" si="34"/>
        <v>0</v>
      </c>
      <c r="AU22" s="81">
        <f t="shared" si="34"/>
        <v>0</v>
      </c>
      <c r="AV22" s="81">
        <f t="shared" si="34"/>
        <v>0</v>
      </c>
      <c r="AW22" s="81">
        <f t="shared" si="34"/>
        <v>0</v>
      </c>
      <c r="AX22" s="81">
        <f t="shared" si="34"/>
        <v>0</v>
      </c>
      <c r="AY22" s="81">
        <f t="shared" si="34"/>
        <v>0</v>
      </c>
      <c r="AZ22" s="81">
        <f t="shared" si="34"/>
        <v>0</v>
      </c>
      <c r="BA22" s="82">
        <f t="shared" si="34"/>
        <v>0</v>
      </c>
      <c r="BB22" s="39" t="str">
        <f t="shared" si="24"/>
        <v>Liste 1</v>
      </c>
      <c r="BC22" s="39"/>
      <c r="BD22" s="39"/>
      <c r="BE22" s="39"/>
      <c r="BF22" s="39"/>
      <c r="BG22" s="39"/>
      <c r="BH22" s="39"/>
      <c r="BI22" s="39"/>
      <c r="BJ22" s="39"/>
      <c r="BK22" s="39"/>
      <c r="BL22" s="39"/>
      <c r="BM22" s="39"/>
    </row>
    <row r="23" spans="1:65" ht="16" x14ac:dyDescent="0.2">
      <c r="A23" s="77">
        <v>7</v>
      </c>
      <c r="B23" s="78">
        <f t="shared" ref="B23:R23" si="35">B$12/(AK22+1)</f>
        <v>4.75</v>
      </c>
      <c r="C23" s="78">
        <f t="shared" si="35"/>
        <v>5.5</v>
      </c>
      <c r="D23" s="78">
        <f t="shared" si="35"/>
        <v>0</v>
      </c>
      <c r="E23" s="78">
        <f t="shared" si="35"/>
        <v>0</v>
      </c>
      <c r="F23" s="78">
        <f t="shared" si="35"/>
        <v>0</v>
      </c>
      <c r="G23" s="78">
        <f t="shared" si="35"/>
        <v>0</v>
      </c>
      <c r="H23" s="78">
        <f t="shared" si="35"/>
        <v>0</v>
      </c>
      <c r="I23" s="78">
        <f t="shared" si="35"/>
        <v>0</v>
      </c>
      <c r="J23" s="78">
        <f t="shared" si="35"/>
        <v>0</v>
      </c>
      <c r="K23" s="78">
        <f t="shared" si="35"/>
        <v>0</v>
      </c>
      <c r="L23" s="78">
        <f t="shared" si="35"/>
        <v>0</v>
      </c>
      <c r="M23" s="78">
        <f t="shared" si="35"/>
        <v>0</v>
      </c>
      <c r="N23" s="78">
        <f t="shared" si="35"/>
        <v>0</v>
      </c>
      <c r="O23" s="78">
        <f t="shared" si="35"/>
        <v>0</v>
      </c>
      <c r="P23" s="78">
        <f t="shared" si="35"/>
        <v>0</v>
      </c>
      <c r="Q23" s="78">
        <f t="shared" si="35"/>
        <v>0</v>
      </c>
      <c r="R23" s="79">
        <f t="shared" si="35"/>
        <v>0</v>
      </c>
      <c r="S23" s="79">
        <f t="shared" si="5"/>
        <v>5.5</v>
      </c>
      <c r="T23" s="80">
        <f t="shared" si="6"/>
        <v>0</v>
      </c>
      <c r="U23" s="80">
        <f t="shared" si="7"/>
        <v>1</v>
      </c>
      <c r="V23" s="80">
        <f t="shared" si="8"/>
        <v>0</v>
      </c>
      <c r="W23" s="80">
        <f t="shared" si="9"/>
        <v>0</v>
      </c>
      <c r="X23" s="80">
        <f t="shared" si="10"/>
        <v>0</v>
      </c>
      <c r="Y23" s="80">
        <f t="shared" si="11"/>
        <v>0</v>
      </c>
      <c r="Z23" s="80">
        <f t="shared" si="12"/>
        <v>0</v>
      </c>
      <c r="AA23" s="80">
        <f t="shared" si="13"/>
        <v>0</v>
      </c>
      <c r="AB23" s="80">
        <f t="shared" si="14"/>
        <v>0</v>
      </c>
      <c r="AC23" s="80">
        <f t="shared" si="15"/>
        <v>0</v>
      </c>
      <c r="AD23" s="80">
        <f t="shared" si="16"/>
        <v>0</v>
      </c>
      <c r="AE23" s="80">
        <f t="shared" si="17"/>
        <v>0</v>
      </c>
      <c r="AF23" s="80">
        <f t="shared" si="18"/>
        <v>0</v>
      </c>
      <c r="AG23" s="80">
        <f t="shared" si="19"/>
        <v>0</v>
      </c>
      <c r="AH23" s="80">
        <f t="shared" si="20"/>
        <v>0</v>
      </c>
      <c r="AI23" s="80">
        <f t="shared" si="21"/>
        <v>0</v>
      </c>
      <c r="AJ23" s="80">
        <f t="shared" si="22"/>
        <v>0</v>
      </c>
      <c r="AK23" s="80">
        <f t="shared" ref="AK23:BA23" si="36">T23+AK22</f>
        <v>3</v>
      </c>
      <c r="AL23" s="81">
        <f t="shared" si="36"/>
        <v>4</v>
      </c>
      <c r="AM23" s="81">
        <f t="shared" si="36"/>
        <v>0</v>
      </c>
      <c r="AN23" s="81">
        <f t="shared" si="36"/>
        <v>0</v>
      </c>
      <c r="AO23" s="81">
        <f t="shared" si="36"/>
        <v>0</v>
      </c>
      <c r="AP23" s="81">
        <f t="shared" si="36"/>
        <v>0</v>
      </c>
      <c r="AQ23" s="81">
        <f t="shared" si="36"/>
        <v>0</v>
      </c>
      <c r="AR23" s="81">
        <f t="shared" si="36"/>
        <v>0</v>
      </c>
      <c r="AS23" s="81">
        <f t="shared" si="36"/>
        <v>0</v>
      </c>
      <c r="AT23" s="81">
        <f t="shared" si="36"/>
        <v>0</v>
      </c>
      <c r="AU23" s="81">
        <f t="shared" si="36"/>
        <v>0</v>
      </c>
      <c r="AV23" s="81">
        <f t="shared" si="36"/>
        <v>0</v>
      </c>
      <c r="AW23" s="81">
        <f t="shared" si="36"/>
        <v>0</v>
      </c>
      <c r="AX23" s="81">
        <f t="shared" si="36"/>
        <v>0</v>
      </c>
      <c r="AY23" s="81">
        <f t="shared" si="36"/>
        <v>0</v>
      </c>
      <c r="AZ23" s="81">
        <f t="shared" si="36"/>
        <v>0</v>
      </c>
      <c r="BA23" s="82">
        <f t="shared" si="36"/>
        <v>0</v>
      </c>
      <c r="BB23" s="39" t="str">
        <f t="shared" si="24"/>
        <v>Liste 2</v>
      </c>
      <c r="BC23" s="39"/>
      <c r="BD23" s="39"/>
      <c r="BE23" s="39"/>
      <c r="BF23" s="39"/>
      <c r="BG23" s="39"/>
      <c r="BH23" s="39"/>
      <c r="BI23" s="39"/>
      <c r="BJ23" s="39"/>
      <c r="BK23" s="39"/>
      <c r="BL23" s="39"/>
      <c r="BM23" s="39"/>
    </row>
    <row r="24" spans="1:65" ht="16" x14ac:dyDescent="0.2">
      <c r="A24" s="77">
        <v>8</v>
      </c>
      <c r="B24" s="78">
        <f t="shared" ref="B24:R24" si="37">B$12/(AK23+1)</f>
        <v>4.75</v>
      </c>
      <c r="C24" s="78">
        <f t="shared" si="37"/>
        <v>4.4000000000000004</v>
      </c>
      <c r="D24" s="78">
        <f t="shared" si="37"/>
        <v>0</v>
      </c>
      <c r="E24" s="78">
        <f t="shared" si="37"/>
        <v>0</v>
      </c>
      <c r="F24" s="78">
        <f t="shared" si="37"/>
        <v>0</v>
      </c>
      <c r="G24" s="78">
        <f t="shared" si="37"/>
        <v>0</v>
      </c>
      <c r="H24" s="78">
        <f t="shared" si="37"/>
        <v>0</v>
      </c>
      <c r="I24" s="78">
        <f t="shared" si="37"/>
        <v>0</v>
      </c>
      <c r="J24" s="78">
        <f t="shared" si="37"/>
        <v>0</v>
      </c>
      <c r="K24" s="78">
        <f t="shared" si="37"/>
        <v>0</v>
      </c>
      <c r="L24" s="78">
        <f t="shared" si="37"/>
        <v>0</v>
      </c>
      <c r="M24" s="78">
        <f t="shared" si="37"/>
        <v>0</v>
      </c>
      <c r="N24" s="78">
        <f t="shared" si="37"/>
        <v>0</v>
      </c>
      <c r="O24" s="78">
        <f t="shared" si="37"/>
        <v>0</v>
      </c>
      <c r="P24" s="78">
        <f t="shared" si="37"/>
        <v>0</v>
      </c>
      <c r="Q24" s="78">
        <f t="shared" si="37"/>
        <v>0</v>
      </c>
      <c r="R24" s="79">
        <f t="shared" si="37"/>
        <v>0</v>
      </c>
      <c r="S24" s="79">
        <f t="shared" si="5"/>
        <v>4.75</v>
      </c>
      <c r="T24" s="80">
        <f t="shared" si="6"/>
        <v>1</v>
      </c>
      <c r="U24" s="80">
        <f t="shared" si="7"/>
        <v>0</v>
      </c>
      <c r="V24" s="80">
        <f t="shared" si="8"/>
        <v>0</v>
      </c>
      <c r="W24" s="80">
        <f t="shared" si="9"/>
        <v>0</v>
      </c>
      <c r="X24" s="80">
        <f t="shared" si="10"/>
        <v>0</v>
      </c>
      <c r="Y24" s="80">
        <f t="shared" si="11"/>
        <v>0</v>
      </c>
      <c r="Z24" s="80">
        <f t="shared" si="12"/>
        <v>0</v>
      </c>
      <c r="AA24" s="80">
        <f t="shared" si="13"/>
        <v>0</v>
      </c>
      <c r="AB24" s="80">
        <f t="shared" si="14"/>
        <v>0</v>
      </c>
      <c r="AC24" s="80">
        <f t="shared" si="15"/>
        <v>0</v>
      </c>
      <c r="AD24" s="80">
        <f t="shared" si="16"/>
        <v>0</v>
      </c>
      <c r="AE24" s="80">
        <f t="shared" si="17"/>
        <v>0</v>
      </c>
      <c r="AF24" s="80">
        <f t="shared" si="18"/>
        <v>0</v>
      </c>
      <c r="AG24" s="80">
        <f t="shared" si="19"/>
        <v>0</v>
      </c>
      <c r="AH24" s="80">
        <f t="shared" si="20"/>
        <v>0</v>
      </c>
      <c r="AI24" s="80">
        <f t="shared" si="21"/>
        <v>0</v>
      </c>
      <c r="AJ24" s="80">
        <f t="shared" si="22"/>
        <v>0</v>
      </c>
      <c r="AK24" s="80">
        <f t="shared" ref="AK24:BA24" si="38">T24+AK23</f>
        <v>4</v>
      </c>
      <c r="AL24" s="81">
        <f t="shared" si="38"/>
        <v>4</v>
      </c>
      <c r="AM24" s="81">
        <f t="shared" si="38"/>
        <v>0</v>
      </c>
      <c r="AN24" s="81">
        <f t="shared" si="38"/>
        <v>0</v>
      </c>
      <c r="AO24" s="81">
        <f t="shared" si="38"/>
        <v>0</v>
      </c>
      <c r="AP24" s="81">
        <f t="shared" si="38"/>
        <v>0</v>
      </c>
      <c r="AQ24" s="81">
        <f t="shared" si="38"/>
        <v>0</v>
      </c>
      <c r="AR24" s="81">
        <f t="shared" si="38"/>
        <v>0</v>
      </c>
      <c r="AS24" s="81">
        <f t="shared" si="38"/>
        <v>0</v>
      </c>
      <c r="AT24" s="81">
        <f t="shared" si="38"/>
        <v>0</v>
      </c>
      <c r="AU24" s="81">
        <f t="shared" si="38"/>
        <v>0</v>
      </c>
      <c r="AV24" s="81">
        <f t="shared" si="38"/>
        <v>0</v>
      </c>
      <c r="AW24" s="81">
        <f t="shared" si="38"/>
        <v>0</v>
      </c>
      <c r="AX24" s="81">
        <f t="shared" si="38"/>
        <v>0</v>
      </c>
      <c r="AY24" s="81">
        <f t="shared" si="38"/>
        <v>0</v>
      </c>
      <c r="AZ24" s="81">
        <f t="shared" si="38"/>
        <v>0</v>
      </c>
      <c r="BA24" s="82">
        <f t="shared" si="38"/>
        <v>0</v>
      </c>
      <c r="BB24" s="39" t="str">
        <f t="shared" si="24"/>
        <v>Liste 1</v>
      </c>
      <c r="BC24" s="39"/>
      <c r="BD24" s="39"/>
      <c r="BE24" s="39"/>
      <c r="BF24" s="39"/>
      <c r="BG24" s="39"/>
      <c r="BH24" s="39"/>
      <c r="BI24" s="39"/>
      <c r="BJ24" s="39"/>
      <c r="BK24" s="39"/>
      <c r="BL24" s="39"/>
      <c r="BM24" s="39"/>
    </row>
    <row r="25" spans="1:65" ht="16" x14ac:dyDescent="0.2">
      <c r="A25" s="77">
        <v>9</v>
      </c>
      <c r="B25" s="78">
        <f t="shared" ref="B25:R25" si="39">B$12/(AK24+1)</f>
        <v>3.8</v>
      </c>
      <c r="C25" s="78">
        <f t="shared" si="39"/>
        <v>4.4000000000000004</v>
      </c>
      <c r="D25" s="78">
        <f t="shared" si="39"/>
        <v>0</v>
      </c>
      <c r="E25" s="78">
        <f t="shared" si="39"/>
        <v>0</v>
      </c>
      <c r="F25" s="78">
        <f t="shared" si="39"/>
        <v>0</v>
      </c>
      <c r="G25" s="78">
        <f t="shared" si="39"/>
        <v>0</v>
      </c>
      <c r="H25" s="78">
        <f t="shared" si="39"/>
        <v>0</v>
      </c>
      <c r="I25" s="78">
        <f t="shared" si="39"/>
        <v>0</v>
      </c>
      <c r="J25" s="78">
        <f t="shared" si="39"/>
        <v>0</v>
      </c>
      <c r="K25" s="78">
        <f t="shared" si="39"/>
        <v>0</v>
      </c>
      <c r="L25" s="78">
        <f t="shared" si="39"/>
        <v>0</v>
      </c>
      <c r="M25" s="78">
        <f t="shared" si="39"/>
        <v>0</v>
      </c>
      <c r="N25" s="78">
        <f t="shared" si="39"/>
        <v>0</v>
      </c>
      <c r="O25" s="78">
        <f t="shared" si="39"/>
        <v>0</v>
      </c>
      <c r="P25" s="78">
        <f t="shared" si="39"/>
        <v>0</v>
      </c>
      <c r="Q25" s="78">
        <f t="shared" si="39"/>
        <v>0</v>
      </c>
      <c r="R25" s="79">
        <f t="shared" si="39"/>
        <v>0</v>
      </c>
      <c r="S25" s="79">
        <f t="shared" si="5"/>
        <v>4.4000000000000004</v>
      </c>
      <c r="T25" s="80">
        <f t="shared" si="6"/>
        <v>0</v>
      </c>
      <c r="U25" s="80">
        <f t="shared" si="7"/>
        <v>1</v>
      </c>
      <c r="V25" s="80">
        <f t="shared" si="8"/>
        <v>0</v>
      </c>
      <c r="W25" s="80">
        <f t="shared" si="9"/>
        <v>0</v>
      </c>
      <c r="X25" s="80">
        <f t="shared" si="10"/>
        <v>0</v>
      </c>
      <c r="Y25" s="80">
        <f t="shared" si="11"/>
        <v>0</v>
      </c>
      <c r="Z25" s="80">
        <f t="shared" si="12"/>
        <v>0</v>
      </c>
      <c r="AA25" s="80">
        <f t="shared" si="13"/>
        <v>0</v>
      </c>
      <c r="AB25" s="80">
        <f t="shared" si="14"/>
        <v>0</v>
      </c>
      <c r="AC25" s="80">
        <f t="shared" si="15"/>
        <v>0</v>
      </c>
      <c r="AD25" s="80">
        <f t="shared" si="16"/>
        <v>0</v>
      </c>
      <c r="AE25" s="80">
        <f t="shared" si="17"/>
        <v>0</v>
      </c>
      <c r="AF25" s="80">
        <f t="shared" si="18"/>
        <v>0</v>
      </c>
      <c r="AG25" s="80">
        <f t="shared" si="19"/>
        <v>0</v>
      </c>
      <c r="AH25" s="80">
        <f t="shared" si="20"/>
        <v>0</v>
      </c>
      <c r="AI25" s="80">
        <f t="shared" si="21"/>
        <v>0</v>
      </c>
      <c r="AJ25" s="80">
        <f t="shared" si="22"/>
        <v>0</v>
      </c>
      <c r="AK25" s="80">
        <f t="shared" ref="AK25:BA25" si="40">T25+AK24</f>
        <v>4</v>
      </c>
      <c r="AL25" s="81">
        <f t="shared" si="40"/>
        <v>5</v>
      </c>
      <c r="AM25" s="81">
        <f t="shared" si="40"/>
        <v>0</v>
      </c>
      <c r="AN25" s="81">
        <f t="shared" si="40"/>
        <v>0</v>
      </c>
      <c r="AO25" s="81">
        <f t="shared" si="40"/>
        <v>0</v>
      </c>
      <c r="AP25" s="81">
        <f t="shared" si="40"/>
        <v>0</v>
      </c>
      <c r="AQ25" s="81">
        <f t="shared" si="40"/>
        <v>0</v>
      </c>
      <c r="AR25" s="81">
        <f t="shared" si="40"/>
        <v>0</v>
      </c>
      <c r="AS25" s="81">
        <f t="shared" si="40"/>
        <v>0</v>
      </c>
      <c r="AT25" s="81">
        <f t="shared" si="40"/>
        <v>0</v>
      </c>
      <c r="AU25" s="81">
        <f t="shared" si="40"/>
        <v>0</v>
      </c>
      <c r="AV25" s="81">
        <f t="shared" si="40"/>
        <v>0</v>
      </c>
      <c r="AW25" s="81">
        <f t="shared" si="40"/>
        <v>0</v>
      </c>
      <c r="AX25" s="81">
        <f t="shared" si="40"/>
        <v>0</v>
      </c>
      <c r="AY25" s="81">
        <f t="shared" si="40"/>
        <v>0</v>
      </c>
      <c r="AZ25" s="81">
        <f t="shared" si="40"/>
        <v>0</v>
      </c>
      <c r="BA25" s="82">
        <f t="shared" si="40"/>
        <v>0</v>
      </c>
      <c r="BB25" s="39" t="str">
        <f t="shared" si="24"/>
        <v>Liste 2</v>
      </c>
      <c r="BC25" s="39"/>
      <c r="BD25" s="39"/>
      <c r="BE25" s="39"/>
      <c r="BF25" s="39"/>
      <c r="BG25" s="39"/>
      <c r="BH25" s="39"/>
      <c r="BI25" s="39"/>
      <c r="BJ25" s="39"/>
      <c r="BK25" s="39"/>
      <c r="BL25" s="39"/>
      <c r="BM25" s="39"/>
    </row>
    <row r="26" spans="1:65" ht="16" x14ac:dyDescent="0.2">
      <c r="A26" s="77">
        <v>10</v>
      </c>
      <c r="B26" s="78">
        <f t="shared" ref="B26:R26" si="41">B$12/(AK25+1)</f>
        <v>3.8</v>
      </c>
      <c r="C26" s="78">
        <f t="shared" si="41"/>
        <v>3.6666666666666665</v>
      </c>
      <c r="D26" s="78">
        <f t="shared" si="41"/>
        <v>0</v>
      </c>
      <c r="E26" s="78">
        <f t="shared" si="41"/>
        <v>0</v>
      </c>
      <c r="F26" s="78">
        <f t="shared" si="41"/>
        <v>0</v>
      </c>
      <c r="G26" s="78">
        <f t="shared" si="41"/>
        <v>0</v>
      </c>
      <c r="H26" s="78">
        <f t="shared" si="41"/>
        <v>0</v>
      </c>
      <c r="I26" s="78">
        <f t="shared" si="41"/>
        <v>0</v>
      </c>
      <c r="J26" s="78">
        <f t="shared" si="41"/>
        <v>0</v>
      </c>
      <c r="K26" s="78">
        <f t="shared" si="41"/>
        <v>0</v>
      </c>
      <c r="L26" s="78">
        <f t="shared" si="41"/>
        <v>0</v>
      </c>
      <c r="M26" s="78">
        <f t="shared" si="41"/>
        <v>0</v>
      </c>
      <c r="N26" s="78">
        <f t="shared" si="41"/>
        <v>0</v>
      </c>
      <c r="O26" s="78">
        <f t="shared" si="41"/>
        <v>0</v>
      </c>
      <c r="P26" s="78">
        <f t="shared" si="41"/>
        <v>0</v>
      </c>
      <c r="Q26" s="78">
        <f t="shared" si="41"/>
        <v>0</v>
      </c>
      <c r="R26" s="79">
        <f t="shared" si="41"/>
        <v>0</v>
      </c>
      <c r="S26" s="79">
        <f t="shared" si="5"/>
        <v>3.8</v>
      </c>
      <c r="T26" s="80">
        <f t="shared" si="6"/>
        <v>1</v>
      </c>
      <c r="U26" s="80">
        <f t="shared" si="7"/>
        <v>0</v>
      </c>
      <c r="V26" s="80">
        <f t="shared" si="8"/>
        <v>0</v>
      </c>
      <c r="W26" s="80">
        <f t="shared" si="9"/>
        <v>0</v>
      </c>
      <c r="X26" s="80">
        <f t="shared" si="10"/>
        <v>0</v>
      </c>
      <c r="Y26" s="80">
        <f t="shared" si="11"/>
        <v>0</v>
      </c>
      <c r="Z26" s="80">
        <f t="shared" si="12"/>
        <v>0</v>
      </c>
      <c r="AA26" s="80">
        <f t="shared" si="13"/>
        <v>0</v>
      </c>
      <c r="AB26" s="80">
        <f t="shared" si="14"/>
        <v>0</v>
      </c>
      <c r="AC26" s="80">
        <f t="shared" si="15"/>
        <v>0</v>
      </c>
      <c r="AD26" s="80">
        <f t="shared" si="16"/>
        <v>0</v>
      </c>
      <c r="AE26" s="80">
        <f t="shared" si="17"/>
        <v>0</v>
      </c>
      <c r="AF26" s="80">
        <f t="shared" si="18"/>
        <v>0</v>
      </c>
      <c r="AG26" s="80">
        <f t="shared" si="19"/>
        <v>0</v>
      </c>
      <c r="AH26" s="80">
        <f t="shared" si="20"/>
        <v>0</v>
      </c>
      <c r="AI26" s="80">
        <f t="shared" si="21"/>
        <v>0</v>
      </c>
      <c r="AJ26" s="80">
        <f t="shared" si="22"/>
        <v>0</v>
      </c>
      <c r="AK26" s="80">
        <f t="shared" ref="AK26:BA26" si="42">T26+AK25</f>
        <v>5</v>
      </c>
      <c r="AL26" s="81">
        <f t="shared" si="42"/>
        <v>5</v>
      </c>
      <c r="AM26" s="81">
        <f t="shared" si="42"/>
        <v>0</v>
      </c>
      <c r="AN26" s="81">
        <f t="shared" si="42"/>
        <v>0</v>
      </c>
      <c r="AO26" s="81">
        <f t="shared" si="42"/>
        <v>0</v>
      </c>
      <c r="AP26" s="81">
        <f t="shared" si="42"/>
        <v>0</v>
      </c>
      <c r="AQ26" s="81">
        <f t="shared" si="42"/>
        <v>0</v>
      </c>
      <c r="AR26" s="81">
        <f t="shared" si="42"/>
        <v>0</v>
      </c>
      <c r="AS26" s="81">
        <f t="shared" si="42"/>
        <v>0</v>
      </c>
      <c r="AT26" s="81">
        <f t="shared" si="42"/>
        <v>0</v>
      </c>
      <c r="AU26" s="81">
        <f t="shared" si="42"/>
        <v>0</v>
      </c>
      <c r="AV26" s="81">
        <f t="shared" si="42"/>
        <v>0</v>
      </c>
      <c r="AW26" s="81">
        <f t="shared" si="42"/>
        <v>0</v>
      </c>
      <c r="AX26" s="81">
        <f t="shared" si="42"/>
        <v>0</v>
      </c>
      <c r="AY26" s="81">
        <f t="shared" si="42"/>
        <v>0</v>
      </c>
      <c r="AZ26" s="81">
        <f t="shared" si="42"/>
        <v>0</v>
      </c>
      <c r="BA26" s="82">
        <f t="shared" si="42"/>
        <v>0</v>
      </c>
      <c r="BB26" s="39" t="str">
        <f t="shared" si="24"/>
        <v>Liste 1</v>
      </c>
      <c r="BC26" s="39"/>
      <c r="BD26" s="39"/>
      <c r="BE26" s="39"/>
      <c r="BF26" s="39"/>
      <c r="BG26" s="39"/>
      <c r="BH26" s="39"/>
      <c r="BI26" s="39"/>
      <c r="BJ26" s="39"/>
      <c r="BK26" s="39"/>
      <c r="BL26" s="39"/>
      <c r="BM26" s="39"/>
    </row>
    <row r="27" spans="1:65" ht="16" x14ac:dyDescent="0.2">
      <c r="A27" s="77">
        <v>11</v>
      </c>
      <c r="B27" s="78">
        <f t="shared" ref="B27:R27" si="43">B$12/(AK26+1)</f>
        <v>3.1666666666666665</v>
      </c>
      <c r="C27" s="78">
        <f t="shared" si="43"/>
        <v>3.6666666666666665</v>
      </c>
      <c r="D27" s="78">
        <f t="shared" si="43"/>
        <v>0</v>
      </c>
      <c r="E27" s="78">
        <f t="shared" si="43"/>
        <v>0</v>
      </c>
      <c r="F27" s="78">
        <f t="shared" si="43"/>
        <v>0</v>
      </c>
      <c r="G27" s="78">
        <f t="shared" si="43"/>
        <v>0</v>
      </c>
      <c r="H27" s="78">
        <f t="shared" si="43"/>
        <v>0</v>
      </c>
      <c r="I27" s="78">
        <f t="shared" si="43"/>
        <v>0</v>
      </c>
      <c r="J27" s="78">
        <f t="shared" si="43"/>
        <v>0</v>
      </c>
      <c r="K27" s="78">
        <f t="shared" si="43"/>
        <v>0</v>
      </c>
      <c r="L27" s="78">
        <f t="shared" si="43"/>
        <v>0</v>
      </c>
      <c r="M27" s="78">
        <f t="shared" si="43"/>
        <v>0</v>
      </c>
      <c r="N27" s="78">
        <f t="shared" si="43"/>
        <v>0</v>
      </c>
      <c r="O27" s="78">
        <f t="shared" si="43"/>
        <v>0</v>
      </c>
      <c r="P27" s="78">
        <f t="shared" si="43"/>
        <v>0</v>
      </c>
      <c r="Q27" s="78">
        <f t="shared" si="43"/>
        <v>0</v>
      </c>
      <c r="R27" s="79">
        <f t="shared" si="43"/>
        <v>0</v>
      </c>
      <c r="S27" s="79">
        <f t="shared" si="5"/>
        <v>3.6666666666666665</v>
      </c>
      <c r="T27" s="80">
        <f t="shared" si="6"/>
        <v>0</v>
      </c>
      <c r="U27" s="80">
        <f t="shared" si="7"/>
        <v>1</v>
      </c>
      <c r="V27" s="80">
        <f t="shared" si="8"/>
        <v>0</v>
      </c>
      <c r="W27" s="80">
        <f t="shared" si="9"/>
        <v>0</v>
      </c>
      <c r="X27" s="80">
        <f t="shared" si="10"/>
        <v>0</v>
      </c>
      <c r="Y27" s="80">
        <f t="shared" si="11"/>
        <v>0</v>
      </c>
      <c r="Z27" s="80">
        <f t="shared" si="12"/>
        <v>0</v>
      </c>
      <c r="AA27" s="80">
        <f t="shared" si="13"/>
        <v>0</v>
      </c>
      <c r="AB27" s="80">
        <f t="shared" si="14"/>
        <v>0</v>
      </c>
      <c r="AC27" s="80">
        <f t="shared" si="15"/>
        <v>0</v>
      </c>
      <c r="AD27" s="80">
        <f t="shared" si="16"/>
        <v>0</v>
      </c>
      <c r="AE27" s="80">
        <f t="shared" si="17"/>
        <v>0</v>
      </c>
      <c r="AF27" s="80">
        <f t="shared" si="18"/>
        <v>0</v>
      </c>
      <c r="AG27" s="80">
        <f t="shared" si="19"/>
        <v>0</v>
      </c>
      <c r="AH27" s="80">
        <f t="shared" si="20"/>
        <v>0</v>
      </c>
      <c r="AI27" s="80">
        <f t="shared" si="21"/>
        <v>0</v>
      </c>
      <c r="AJ27" s="80">
        <f t="shared" si="22"/>
        <v>0</v>
      </c>
      <c r="AK27" s="80">
        <f t="shared" ref="AK27:BA27" si="44">T27+AK26</f>
        <v>5</v>
      </c>
      <c r="AL27" s="81">
        <f t="shared" si="44"/>
        <v>6</v>
      </c>
      <c r="AM27" s="81">
        <f t="shared" si="44"/>
        <v>0</v>
      </c>
      <c r="AN27" s="81">
        <f t="shared" si="44"/>
        <v>0</v>
      </c>
      <c r="AO27" s="81">
        <f t="shared" si="44"/>
        <v>0</v>
      </c>
      <c r="AP27" s="81">
        <f t="shared" si="44"/>
        <v>0</v>
      </c>
      <c r="AQ27" s="81">
        <f t="shared" si="44"/>
        <v>0</v>
      </c>
      <c r="AR27" s="81">
        <f t="shared" si="44"/>
        <v>0</v>
      </c>
      <c r="AS27" s="81">
        <f t="shared" si="44"/>
        <v>0</v>
      </c>
      <c r="AT27" s="81">
        <f t="shared" si="44"/>
        <v>0</v>
      </c>
      <c r="AU27" s="81">
        <f t="shared" si="44"/>
        <v>0</v>
      </c>
      <c r="AV27" s="81">
        <f t="shared" si="44"/>
        <v>0</v>
      </c>
      <c r="AW27" s="81">
        <f t="shared" si="44"/>
        <v>0</v>
      </c>
      <c r="AX27" s="81">
        <f t="shared" si="44"/>
        <v>0</v>
      </c>
      <c r="AY27" s="81">
        <f t="shared" si="44"/>
        <v>0</v>
      </c>
      <c r="AZ27" s="81">
        <f t="shared" si="44"/>
        <v>0</v>
      </c>
      <c r="BA27" s="82">
        <f t="shared" si="44"/>
        <v>0</v>
      </c>
      <c r="BB27" s="39" t="str">
        <f t="shared" si="24"/>
        <v>Liste 2</v>
      </c>
      <c r="BC27" s="39"/>
      <c r="BD27" s="39"/>
      <c r="BE27" s="39"/>
      <c r="BF27" s="39"/>
      <c r="BG27" s="39"/>
      <c r="BH27" s="39"/>
      <c r="BI27" s="39"/>
      <c r="BJ27" s="39"/>
      <c r="BK27" s="39"/>
      <c r="BL27" s="39"/>
      <c r="BM27" s="39"/>
    </row>
    <row r="28" spans="1:65" ht="16" x14ac:dyDescent="0.2">
      <c r="A28" s="77">
        <v>12</v>
      </c>
      <c r="B28" s="78">
        <f t="shared" ref="B28:R28" si="45">B$12/(AK27+1)</f>
        <v>3.1666666666666665</v>
      </c>
      <c r="C28" s="78">
        <f t="shared" si="45"/>
        <v>3.1428571428571428</v>
      </c>
      <c r="D28" s="78">
        <f t="shared" si="45"/>
        <v>0</v>
      </c>
      <c r="E28" s="78">
        <f t="shared" si="45"/>
        <v>0</v>
      </c>
      <c r="F28" s="78">
        <f t="shared" si="45"/>
        <v>0</v>
      </c>
      <c r="G28" s="78">
        <f t="shared" si="45"/>
        <v>0</v>
      </c>
      <c r="H28" s="78">
        <f t="shared" si="45"/>
        <v>0</v>
      </c>
      <c r="I28" s="78">
        <f t="shared" si="45"/>
        <v>0</v>
      </c>
      <c r="J28" s="78">
        <f t="shared" si="45"/>
        <v>0</v>
      </c>
      <c r="K28" s="78">
        <f t="shared" si="45"/>
        <v>0</v>
      </c>
      <c r="L28" s="78">
        <f t="shared" si="45"/>
        <v>0</v>
      </c>
      <c r="M28" s="78">
        <f t="shared" si="45"/>
        <v>0</v>
      </c>
      <c r="N28" s="78">
        <f t="shared" si="45"/>
        <v>0</v>
      </c>
      <c r="O28" s="78">
        <f t="shared" si="45"/>
        <v>0</v>
      </c>
      <c r="P28" s="78">
        <f t="shared" si="45"/>
        <v>0</v>
      </c>
      <c r="Q28" s="78">
        <f t="shared" si="45"/>
        <v>0</v>
      </c>
      <c r="R28" s="79">
        <f t="shared" si="45"/>
        <v>0</v>
      </c>
      <c r="S28" s="79">
        <f t="shared" si="5"/>
        <v>3.1666666666666665</v>
      </c>
      <c r="T28" s="80">
        <f t="shared" si="6"/>
        <v>1</v>
      </c>
      <c r="U28" s="80">
        <f t="shared" si="7"/>
        <v>0</v>
      </c>
      <c r="V28" s="80">
        <f t="shared" si="8"/>
        <v>0</v>
      </c>
      <c r="W28" s="80">
        <f t="shared" si="9"/>
        <v>0</v>
      </c>
      <c r="X28" s="80">
        <f t="shared" si="10"/>
        <v>0</v>
      </c>
      <c r="Y28" s="80">
        <f t="shared" si="11"/>
        <v>0</v>
      </c>
      <c r="Z28" s="80">
        <f t="shared" si="12"/>
        <v>0</v>
      </c>
      <c r="AA28" s="80">
        <f t="shared" si="13"/>
        <v>0</v>
      </c>
      <c r="AB28" s="80">
        <f t="shared" si="14"/>
        <v>0</v>
      </c>
      <c r="AC28" s="80">
        <f t="shared" si="15"/>
        <v>0</v>
      </c>
      <c r="AD28" s="80">
        <f t="shared" si="16"/>
        <v>0</v>
      </c>
      <c r="AE28" s="80">
        <f t="shared" si="17"/>
        <v>0</v>
      </c>
      <c r="AF28" s="80">
        <f t="shared" si="18"/>
        <v>0</v>
      </c>
      <c r="AG28" s="80">
        <f t="shared" si="19"/>
        <v>0</v>
      </c>
      <c r="AH28" s="80">
        <f t="shared" si="20"/>
        <v>0</v>
      </c>
      <c r="AI28" s="80">
        <f t="shared" si="21"/>
        <v>0</v>
      </c>
      <c r="AJ28" s="80">
        <f t="shared" si="22"/>
        <v>0</v>
      </c>
      <c r="AK28" s="80">
        <f t="shared" ref="AK28:BA28" si="46">T28+AK27</f>
        <v>6</v>
      </c>
      <c r="AL28" s="81">
        <f t="shared" si="46"/>
        <v>6</v>
      </c>
      <c r="AM28" s="81">
        <f t="shared" si="46"/>
        <v>0</v>
      </c>
      <c r="AN28" s="81">
        <f t="shared" si="46"/>
        <v>0</v>
      </c>
      <c r="AO28" s="81">
        <f t="shared" si="46"/>
        <v>0</v>
      </c>
      <c r="AP28" s="81">
        <f t="shared" si="46"/>
        <v>0</v>
      </c>
      <c r="AQ28" s="81">
        <f t="shared" si="46"/>
        <v>0</v>
      </c>
      <c r="AR28" s="81">
        <f t="shared" si="46"/>
        <v>0</v>
      </c>
      <c r="AS28" s="81">
        <f t="shared" si="46"/>
        <v>0</v>
      </c>
      <c r="AT28" s="81">
        <f t="shared" si="46"/>
        <v>0</v>
      </c>
      <c r="AU28" s="81">
        <f t="shared" si="46"/>
        <v>0</v>
      </c>
      <c r="AV28" s="81">
        <f t="shared" si="46"/>
        <v>0</v>
      </c>
      <c r="AW28" s="81">
        <f t="shared" si="46"/>
        <v>0</v>
      </c>
      <c r="AX28" s="81">
        <f t="shared" si="46"/>
        <v>0</v>
      </c>
      <c r="AY28" s="81">
        <f t="shared" si="46"/>
        <v>0</v>
      </c>
      <c r="AZ28" s="81">
        <f t="shared" si="46"/>
        <v>0</v>
      </c>
      <c r="BA28" s="82">
        <f t="shared" si="46"/>
        <v>0</v>
      </c>
      <c r="BB28" s="39" t="str">
        <f t="shared" si="24"/>
        <v>Liste 1</v>
      </c>
      <c r="BC28" s="39"/>
      <c r="BD28" s="39"/>
      <c r="BE28" s="39"/>
      <c r="BF28" s="39"/>
      <c r="BG28" s="39"/>
      <c r="BH28" s="39"/>
      <c r="BI28" s="39"/>
      <c r="BJ28" s="39"/>
      <c r="BK28" s="39"/>
      <c r="BL28" s="39"/>
      <c r="BM28" s="39"/>
    </row>
    <row r="29" spans="1:65" ht="16" x14ac:dyDescent="0.2">
      <c r="A29" s="77">
        <v>13</v>
      </c>
      <c r="B29" s="78">
        <f t="shared" ref="B29:R29" si="47">B$12/(AK28+1)</f>
        <v>2.7142857142857144</v>
      </c>
      <c r="C29" s="78">
        <f t="shared" si="47"/>
        <v>3.1428571428571428</v>
      </c>
      <c r="D29" s="78">
        <f t="shared" si="47"/>
        <v>0</v>
      </c>
      <c r="E29" s="78">
        <f t="shared" si="47"/>
        <v>0</v>
      </c>
      <c r="F29" s="78">
        <f t="shared" si="47"/>
        <v>0</v>
      </c>
      <c r="G29" s="78">
        <f t="shared" si="47"/>
        <v>0</v>
      </c>
      <c r="H29" s="78">
        <f t="shared" si="47"/>
        <v>0</v>
      </c>
      <c r="I29" s="78">
        <f t="shared" si="47"/>
        <v>0</v>
      </c>
      <c r="J29" s="78">
        <f t="shared" si="47"/>
        <v>0</v>
      </c>
      <c r="K29" s="78">
        <f t="shared" si="47"/>
        <v>0</v>
      </c>
      <c r="L29" s="78">
        <f t="shared" si="47"/>
        <v>0</v>
      </c>
      <c r="M29" s="78">
        <f t="shared" si="47"/>
        <v>0</v>
      </c>
      <c r="N29" s="78">
        <f t="shared" si="47"/>
        <v>0</v>
      </c>
      <c r="O29" s="78">
        <f t="shared" si="47"/>
        <v>0</v>
      </c>
      <c r="P29" s="78">
        <f t="shared" si="47"/>
        <v>0</v>
      </c>
      <c r="Q29" s="78">
        <f t="shared" si="47"/>
        <v>0</v>
      </c>
      <c r="R29" s="79">
        <f t="shared" si="47"/>
        <v>0</v>
      </c>
      <c r="S29" s="83">
        <f t="shared" si="5"/>
        <v>3.1428571428571428</v>
      </c>
      <c r="T29" s="80">
        <f t="shared" si="6"/>
        <v>0</v>
      </c>
      <c r="U29" s="80">
        <f t="shared" si="7"/>
        <v>1</v>
      </c>
      <c r="V29" s="80">
        <f t="shared" si="8"/>
        <v>0</v>
      </c>
      <c r="W29" s="80">
        <f t="shared" si="9"/>
        <v>0</v>
      </c>
      <c r="X29" s="80">
        <f t="shared" si="10"/>
        <v>0</v>
      </c>
      <c r="Y29" s="80">
        <f t="shared" si="11"/>
        <v>0</v>
      </c>
      <c r="Z29" s="80">
        <f t="shared" si="12"/>
        <v>0</v>
      </c>
      <c r="AA29" s="80">
        <f t="shared" si="13"/>
        <v>0</v>
      </c>
      <c r="AB29" s="80">
        <f t="shared" si="14"/>
        <v>0</v>
      </c>
      <c r="AC29" s="80">
        <f t="shared" si="15"/>
        <v>0</v>
      </c>
      <c r="AD29" s="80">
        <f t="shared" si="16"/>
        <v>0</v>
      </c>
      <c r="AE29" s="80">
        <f t="shared" si="17"/>
        <v>0</v>
      </c>
      <c r="AF29" s="80">
        <f t="shared" si="18"/>
        <v>0</v>
      </c>
      <c r="AG29" s="80">
        <f t="shared" si="19"/>
        <v>0</v>
      </c>
      <c r="AH29" s="80">
        <f t="shared" si="20"/>
        <v>0</v>
      </c>
      <c r="AI29" s="80">
        <f t="shared" si="21"/>
        <v>0</v>
      </c>
      <c r="AJ29" s="80">
        <f t="shared" si="22"/>
        <v>0</v>
      </c>
      <c r="AK29" s="80">
        <f t="shared" ref="AK29:BA29" si="48">T29+AK28</f>
        <v>6</v>
      </c>
      <c r="AL29" s="81">
        <f t="shared" si="48"/>
        <v>7</v>
      </c>
      <c r="AM29" s="81">
        <f t="shared" si="48"/>
        <v>0</v>
      </c>
      <c r="AN29" s="81">
        <f t="shared" si="48"/>
        <v>0</v>
      </c>
      <c r="AO29" s="81">
        <f t="shared" si="48"/>
        <v>0</v>
      </c>
      <c r="AP29" s="81">
        <f t="shared" si="48"/>
        <v>0</v>
      </c>
      <c r="AQ29" s="81">
        <f t="shared" si="48"/>
        <v>0</v>
      </c>
      <c r="AR29" s="81">
        <f t="shared" si="48"/>
        <v>0</v>
      </c>
      <c r="AS29" s="81">
        <f t="shared" si="48"/>
        <v>0</v>
      </c>
      <c r="AT29" s="81">
        <f t="shared" si="48"/>
        <v>0</v>
      </c>
      <c r="AU29" s="81">
        <f t="shared" si="48"/>
        <v>0</v>
      </c>
      <c r="AV29" s="81">
        <f t="shared" si="48"/>
        <v>0</v>
      </c>
      <c r="AW29" s="81">
        <f t="shared" si="48"/>
        <v>0</v>
      </c>
      <c r="AX29" s="81">
        <f t="shared" si="48"/>
        <v>0</v>
      </c>
      <c r="AY29" s="81">
        <f t="shared" si="48"/>
        <v>0</v>
      </c>
      <c r="AZ29" s="81">
        <f t="shared" si="48"/>
        <v>0</v>
      </c>
      <c r="BA29" s="82">
        <f t="shared" si="48"/>
        <v>0</v>
      </c>
      <c r="BB29" s="39" t="str">
        <f t="shared" si="24"/>
        <v>Liste 2</v>
      </c>
      <c r="BC29" s="39"/>
      <c r="BD29" s="39"/>
      <c r="BE29" s="39"/>
      <c r="BF29" s="39"/>
      <c r="BG29" s="39"/>
      <c r="BH29" s="39"/>
      <c r="BI29" s="39"/>
      <c r="BJ29" s="39"/>
      <c r="BK29" s="39"/>
      <c r="BL29" s="39"/>
      <c r="BM29" s="39"/>
    </row>
    <row r="30" spans="1:65" ht="16" x14ac:dyDescent="0.2">
      <c r="A30" s="77">
        <v>14</v>
      </c>
      <c r="B30" s="78">
        <f t="shared" ref="B30:R30" si="49">B$12/(AK29+1)</f>
        <v>2.7142857142857144</v>
      </c>
      <c r="C30" s="78">
        <f t="shared" si="49"/>
        <v>2.75</v>
      </c>
      <c r="D30" s="78">
        <f t="shared" si="49"/>
        <v>0</v>
      </c>
      <c r="E30" s="78">
        <f t="shared" si="49"/>
        <v>0</v>
      </c>
      <c r="F30" s="78">
        <f t="shared" si="49"/>
        <v>0</v>
      </c>
      <c r="G30" s="78">
        <f t="shared" si="49"/>
        <v>0</v>
      </c>
      <c r="H30" s="78">
        <f t="shared" si="49"/>
        <v>0</v>
      </c>
      <c r="I30" s="78">
        <f t="shared" si="49"/>
        <v>0</v>
      </c>
      <c r="J30" s="78">
        <f t="shared" si="49"/>
        <v>0</v>
      </c>
      <c r="K30" s="78">
        <f t="shared" si="49"/>
        <v>0</v>
      </c>
      <c r="L30" s="78">
        <f t="shared" si="49"/>
        <v>0</v>
      </c>
      <c r="M30" s="78">
        <f t="shared" si="49"/>
        <v>0</v>
      </c>
      <c r="N30" s="78">
        <f t="shared" si="49"/>
        <v>0</v>
      </c>
      <c r="O30" s="78">
        <f t="shared" si="49"/>
        <v>0</v>
      </c>
      <c r="P30" s="78">
        <f t="shared" si="49"/>
        <v>0</v>
      </c>
      <c r="Q30" s="78">
        <f t="shared" si="49"/>
        <v>0</v>
      </c>
      <c r="R30" s="79">
        <f t="shared" si="49"/>
        <v>0</v>
      </c>
      <c r="S30" s="79">
        <f t="shared" si="5"/>
        <v>2.75</v>
      </c>
      <c r="T30" s="80">
        <f t="shared" si="6"/>
        <v>0</v>
      </c>
      <c r="U30" s="80">
        <f t="shared" si="7"/>
        <v>1</v>
      </c>
      <c r="V30" s="80">
        <f t="shared" si="8"/>
        <v>0</v>
      </c>
      <c r="W30" s="80">
        <f t="shared" si="9"/>
        <v>0</v>
      </c>
      <c r="X30" s="80">
        <f t="shared" si="10"/>
        <v>0</v>
      </c>
      <c r="Y30" s="80">
        <f t="shared" si="11"/>
        <v>0</v>
      </c>
      <c r="Z30" s="80">
        <f t="shared" si="12"/>
        <v>0</v>
      </c>
      <c r="AA30" s="80">
        <f t="shared" si="13"/>
        <v>0</v>
      </c>
      <c r="AB30" s="80">
        <f t="shared" si="14"/>
        <v>0</v>
      </c>
      <c r="AC30" s="80">
        <f t="shared" si="15"/>
        <v>0</v>
      </c>
      <c r="AD30" s="80">
        <f t="shared" si="16"/>
        <v>0</v>
      </c>
      <c r="AE30" s="80">
        <f t="shared" si="17"/>
        <v>0</v>
      </c>
      <c r="AF30" s="80">
        <f t="shared" si="18"/>
        <v>0</v>
      </c>
      <c r="AG30" s="80">
        <f t="shared" si="19"/>
        <v>0</v>
      </c>
      <c r="AH30" s="80">
        <f t="shared" si="20"/>
        <v>0</v>
      </c>
      <c r="AI30" s="80">
        <f t="shared" si="21"/>
        <v>0</v>
      </c>
      <c r="AJ30" s="80">
        <f t="shared" si="22"/>
        <v>0</v>
      </c>
      <c r="AK30" s="80">
        <f t="shared" ref="AK30:BA30" si="50">T30+AK29</f>
        <v>6</v>
      </c>
      <c r="AL30" s="81">
        <f t="shared" si="50"/>
        <v>8</v>
      </c>
      <c r="AM30" s="81">
        <f t="shared" si="50"/>
        <v>0</v>
      </c>
      <c r="AN30" s="81">
        <f t="shared" si="50"/>
        <v>0</v>
      </c>
      <c r="AO30" s="81">
        <f t="shared" si="50"/>
        <v>0</v>
      </c>
      <c r="AP30" s="81">
        <f t="shared" si="50"/>
        <v>0</v>
      </c>
      <c r="AQ30" s="81">
        <f t="shared" si="50"/>
        <v>0</v>
      </c>
      <c r="AR30" s="81">
        <f t="shared" si="50"/>
        <v>0</v>
      </c>
      <c r="AS30" s="81">
        <f t="shared" si="50"/>
        <v>0</v>
      </c>
      <c r="AT30" s="81">
        <f t="shared" si="50"/>
        <v>0</v>
      </c>
      <c r="AU30" s="81">
        <f t="shared" si="50"/>
        <v>0</v>
      </c>
      <c r="AV30" s="81">
        <f t="shared" si="50"/>
        <v>0</v>
      </c>
      <c r="AW30" s="81">
        <f t="shared" si="50"/>
        <v>0</v>
      </c>
      <c r="AX30" s="81">
        <f t="shared" si="50"/>
        <v>0</v>
      </c>
      <c r="AY30" s="81">
        <f t="shared" si="50"/>
        <v>0</v>
      </c>
      <c r="AZ30" s="81">
        <f t="shared" si="50"/>
        <v>0</v>
      </c>
      <c r="BA30" s="82">
        <f t="shared" si="50"/>
        <v>0</v>
      </c>
      <c r="BB30" s="39" t="str">
        <f t="shared" si="24"/>
        <v>Liste 2</v>
      </c>
      <c r="BC30" s="39"/>
      <c r="BD30" s="39"/>
      <c r="BE30" s="39"/>
      <c r="BF30" s="39"/>
      <c r="BG30" s="39"/>
      <c r="BH30" s="39"/>
      <c r="BI30" s="39"/>
      <c r="BJ30" s="39"/>
      <c r="BK30" s="39"/>
      <c r="BL30" s="39"/>
      <c r="BM30" s="39"/>
    </row>
    <row r="31" spans="1:65" ht="16" x14ac:dyDescent="0.2">
      <c r="A31" s="77">
        <v>15</v>
      </c>
      <c r="B31" s="78">
        <f t="shared" ref="B31:R31" si="51">B$12/(AK30+1)</f>
        <v>2.7142857142857144</v>
      </c>
      <c r="C31" s="78">
        <f t="shared" si="51"/>
        <v>2.4444444444444446</v>
      </c>
      <c r="D31" s="78">
        <f t="shared" si="51"/>
        <v>0</v>
      </c>
      <c r="E31" s="78">
        <f t="shared" si="51"/>
        <v>0</v>
      </c>
      <c r="F31" s="78">
        <f t="shared" si="51"/>
        <v>0</v>
      </c>
      <c r="G31" s="78">
        <f t="shared" si="51"/>
        <v>0</v>
      </c>
      <c r="H31" s="78">
        <f t="shared" si="51"/>
        <v>0</v>
      </c>
      <c r="I31" s="78">
        <f t="shared" si="51"/>
        <v>0</v>
      </c>
      <c r="J31" s="78">
        <f t="shared" si="51"/>
        <v>0</v>
      </c>
      <c r="K31" s="78">
        <f t="shared" si="51"/>
        <v>0</v>
      </c>
      <c r="L31" s="78">
        <f t="shared" si="51"/>
        <v>0</v>
      </c>
      <c r="M31" s="78">
        <f t="shared" si="51"/>
        <v>0</v>
      </c>
      <c r="N31" s="78">
        <f t="shared" si="51"/>
        <v>0</v>
      </c>
      <c r="O31" s="78">
        <f t="shared" si="51"/>
        <v>0</v>
      </c>
      <c r="P31" s="78">
        <f t="shared" si="51"/>
        <v>0</v>
      </c>
      <c r="Q31" s="78">
        <f t="shared" si="51"/>
        <v>0</v>
      </c>
      <c r="R31" s="79">
        <f t="shared" si="51"/>
        <v>0</v>
      </c>
      <c r="S31" s="79">
        <f t="shared" si="5"/>
        <v>2.7142857142857144</v>
      </c>
      <c r="T31" s="80">
        <f t="shared" si="6"/>
        <v>1</v>
      </c>
      <c r="U31" s="80">
        <f t="shared" si="7"/>
        <v>0</v>
      </c>
      <c r="V31" s="80">
        <f t="shared" si="8"/>
        <v>0</v>
      </c>
      <c r="W31" s="80">
        <f t="shared" si="9"/>
        <v>0</v>
      </c>
      <c r="X31" s="80">
        <f t="shared" si="10"/>
        <v>0</v>
      </c>
      <c r="Y31" s="80">
        <f t="shared" si="11"/>
        <v>0</v>
      </c>
      <c r="Z31" s="80">
        <f t="shared" si="12"/>
        <v>0</v>
      </c>
      <c r="AA31" s="80">
        <f t="shared" si="13"/>
        <v>0</v>
      </c>
      <c r="AB31" s="80">
        <f t="shared" si="14"/>
        <v>0</v>
      </c>
      <c r="AC31" s="80">
        <f t="shared" si="15"/>
        <v>0</v>
      </c>
      <c r="AD31" s="80">
        <f t="shared" si="16"/>
        <v>0</v>
      </c>
      <c r="AE31" s="80">
        <f t="shared" si="17"/>
        <v>0</v>
      </c>
      <c r="AF31" s="80">
        <f t="shared" si="18"/>
        <v>0</v>
      </c>
      <c r="AG31" s="80">
        <f t="shared" si="19"/>
        <v>0</v>
      </c>
      <c r="AH31" s="80">
        <f t="shared" si="20"/>
        <v>0</v>
      </c>
      <c r="AI31" s="80">
        <f t="shared" si="21"/>
        <v>0</v>
      </c>
      <c r="AJ31" s="80">
        <f t="shared" si="22"/>
        <v>0</v>
      </c>
      <c r="AK31" s="80">
        <f t="shared" ref="AK31:BA31" si="52">T31+AK30</f>
        <v>7</v>
      </c>
      <c r="AL31" s="81">
        <f t="shared" si="52"/>
        <v>8</v>
      </c>
      <c r="AM31" s="81">
        <f t="shared" si="52"/>
        <v>0</v>
      </c>
      <c r="AN31" s="81">
        <f t="shared" si="52"/>
        <v>0</v>
      </c>
      <c r="AO31" s="81">
        <f t="shared" si="52"/>
        <v>0</v>
      </c>
      <c r="AP31" s="81">
        <f t="shared" si="52"/>
        <v>0</v>
      </c>
      <c r="AQ31" s="81">
        <f t="shared" si="52"/>
        <v>0</v>
      </c>
      <c r="AR31" s="81">
        <f t="shared" si="52"/>
        <v>0</v>
      </c>
      <c r="AS31" s="81">
        <f t="shared" si="52"/>
        <v>0</v>
      </c>
      <c r="AT31" s="81">
        <f t="shared" si="52"/>
        <v>0</v>
      </c>
      <c r="AU31" s="81">
        <f t="shared" si="52"/>
        <v>0</v>
      </c>
      <c r="AV31" s="81">
        <f t="shared" si="52"/>
        <v>0</v>
      </c>
      <c r="AW31" s="81">
        <f t="shared" si="52"/>
        <v>0</v>
      </c>
      <c r="AX31" s="81">
        <f t="shared" si="52"/>
        <v>0</v>
      </c>
      <c r="AY31" s="81">
        <f t="shared" si="52"/>
        <v>0</v>
      </c>
      <c r="AZ31" s="81">
        <f t="shared" si="52"/>
        <v>0</v>
      </c>
      <c r="BA31" s="82">
        <f t="shared" si="52"/>
        <v>0</v>
      </c>
      <c r="BB31" s="39" t="str">
        <f t="shared" si="24"/>
        <v>Liste 1</v>
      </c>
      <c r="BC31" s="39"/>
      <c r="BD31" s="39"/>
      <c r="BE31" s="39"/>
      <c r="BF31" s="39"/>
      <c r="BG31" s="39"/>
      <c r="BH31" s="39"/>
      <c r="BI31" s="39"/>
      <c r="BJ31" s="39"/>
      <c r="BK31" s="39"/>
      <c r="BL31" s="39"/>
      <c r="BM31" s="39"/>
    </row>
    <row r="32" spans="1:65" ht="16" x14ac:dyDescent="0.2">
      <c r="A32" s="77">
        <v>16</v>
      </c>
      <c r="B32" s="78">
        <f t="shared" ref="B32:R32" si="53">B$12/(AK31+1)</f>
        <v>2.375</v>
      </c>
      <c r="C32" s="78">
        <f t="shared" si="53"/>
        <v>2.4444444444444446</v>
      </c>
      <c r="D32" s="78">
        <f t="shared" si="53"/>
        <v>0</v>
      </c>
      <c r="E32" s="78">
        <f t="shared" si="53"/>
        <v>0</v>
      </c>
      <c r="F32" s="78">
        <f t="shared" si="53"/>
        <v>0</v>
      </c>
      <c r="G32" s="78">
        <f t="shared" si="53"/>
        <v>0</v>
      </c>
      <c r="H32" s="78">
        <f t="shared" si="53"/>
        <v>0</v>
      </c>
      <c r="I32" s="78">
        <f t="shared" si="53"/>
        <v>0</v>
      </c>
      <c r="J32" s="78">
        <f t="shared" si="53"/>
        <v>0</v>
      </c>
      <c r="K32" s="78">
        <f t="shared" si="53"/>
        <v>0</v>
      </c>
      <c r="L32" s="78">
        <f t="shared" si="53"/>
        <v>0</v>
      </c>
      <c r="M32" s="78">
        <f t="shared" si="53"/>
        <v>0</v>
      </c>
      <c r="N32" s="78">
        <f t="shared" si="53"/>
        <v>0</v>
      </c>
      <c r="O32" s="78">
        <f t="shared" si="53"/>
        <v>0</v>
      </c>
      <c r="P32" s="78">
        <f t="shared" si="53"/>
        <v>0</v>
      </c>
      <c r="Q32" s="78">
        <f t="shared" si="53"/>
        <v>0</v>
      </c>
      <c r="R32" s="79">
        <f t="shared" si="53"/>
        <v>0</v>
      </c>
      <c r="S32" s="79">
        <f t="shared" si="5"/>
        <v>2.4444444444444446</v>
      </c>
      <c r="T32" s="80">
        <f t="shared" si="6"/>
        <v>0</v>
      </c>
      <c r="U32" s="80">
        <f t="shared" si="7"/>
        <v>1</v>
      </c>
      <c r="V32" s="80">
        <f t="shared" si="8"/>
        <v>0</v>
      </c>
      <c r="W32" s="80">
        <f t="shared" si="9"/>
        <v>0</v>
      </c>
      <c r="X32" s="80">
        <f t="shared" si="10"/>
        <v>0</v>
      </c>
      <c r="Y32" s="80">
        <f t="shared" si="11"/>
        <v>0</v>
      </c>
      <c r="Z32" s="80">
        <f t="shared" si="12"/>
        <v>0</v>
      </c>
      <c r="AA32" s="80">
        <f t="shared" si="13"/>
        <v>0</v>
      </c>
      <c r="AB32" s="80">
        <f t="shared" si="14"/>
        <v>0</v>
      </c>
      <c r="AC32" s="80">
        <f t="shared" si="15"/>
        <v>0</v>
      </c>
      <c r="AD32" s="80">
        <f t="shared" si="16"/>
        <v>0</v>
      </c>
      <c r="AE32" s="80">
        <f t="shared" si="17"/>
        <v>0</v>
      </c>
      <c r="AF32" s="80">
        <f t="shared" si="18"/>
        <v>0</v>
      </c>
      <c r="AG32" s="80">
        <f t="shared" si="19"/>
        <v>0</v>
      </c>
      <c r="AH32" s="80">
        <f t="shared" si="20"/>
        <v>0</v>
      </c>
      <c r="AI32" s="80">
        <f t="shared" si="21"/>
        <v>0</v>
      </c>
      <c r="AJ32" s="80">
        <f t="shared" si="22"/>
        <v>0</v>
      </c>
      <c r="AK32" s="80">
        <f t="shared" ref="AK32:BA32" si="54">T32+AK31</f>
        <v>7</v>
      </c>
      <c r="AL32" s="81">
        <f t="shared" si="54"/>
        <v>9</v>
      </c>
      <c r="AM32" s="81">
        <f t="shared" si="54"/>
        <v>0</v>
      </c>
      <c r="AN32" s="81">
        <f t="shared" si="54"/>
        <v>0</v>
      </c>
      <c r="AO32" s="81">
        <f t="shared" si="54"/>
        <v>0</v>
      </c>
      <c r="AP32" s="81">
        <f t="shared" si="54"/>
        <v>0</v>
      </c>
      <c r="AQ32" s="81">
        <f t="shared" si="54"/>
        <v>0</v>
      </c>
      <c r="AR32" s="81">
        <f t="shared" si="54"/>
        <v>0</v>
      </c>
      <c r="AS32" s="81">
        <f t="shared" si="54"/>
        <v>0</v>
      </c>
      <c r="AT32" s="81">
        <f t="shared" si="54"/>
        <v>0</v>
      </c>
      <c r="AU32" s="81">
        <f t="shared" si="54"/>
        <v>0</v>
      </c>
      <c r="AV32" s="81">
        <f t="shared" si="54"/>
        <v>0</v>
      </c>
      <c r="AW32" s="81">
        <f t="shared" si="54"/>
        <v>0</v>
      </c>
      <c r="AX32" s="81">
        <f t="shared" si="54"/>
        <v>0</v>
      </c>
      <c r="AY32" s="81">
        <f t="shared" si="54"/>
        <v>0</v>
      </c>
      <c r="AZ32" s="81">
        <f t="shared" si="54"/>
        <v>0</v>
      </c>
      <c r="BA32" s="82">
        <f t="shared" si="54"/>
        <v>0</v>
      </c>
      <c r="BB32" s="39" t="str">
        <f t="shared" si="24"/>
        <v>Liste 2</v>
      </c>
      <c r="BC32" s="39"/>
      <c r="BD32" s="39"/>
      <c r="BE32" s="39"/>
      <c r="BF32" s="39"/>
      <c r="BG32" s="39"/>
      <c r="BH32" s="39"/>
      <c r="BI32" s="39"/>
      <c r="BJ32" s="39"/>
      <c r="BK32" s="39"/>
      <c r="BL32" s="39"/>
      <c r="BM32" s="39"/>
    </row>
    <row r="33" spans="1:65" ht="16" x14ac:dyDescent="0.2">
      <c r="A33" s="77">
        <v>17</v>
      </c>
      <c r="B33" s="78">
        <f t="shared" ref="B33:R33" si="55">B$12/(AK32+1)</f>
        <v>2.375</v>
      </c>
      <c r="C33" s="78">
        <f t="shared" si="55"/>
        <v>2.2000000000000002</v>
      </c>
      <c r="D33" s="78">
        <f t="shared" si="55"/>
        <v>0</v>
      </c>
      <c r="E33" s="78">
        <f t="shared" si="55"/>
        <v>0</v>
      </c>
      <c r="F33" s="78">
        <f t="shared" si="55"/>
        <v>0</v>
      </c>
      <c r="G33" s="78">
        <f t="shared" si="55"/>
        <v>0</v>
      </c>
      <c r="H33" s="78">
        <f t="shared" si="55"/>
        <v>0</v>
      </c>
      <c r="I33" s="78">
        <f t="shared" si="55"/>
        <v>0</v>
      </c>
      <c r="J33" s="78">
        <f t="shared" si="55"/>
        <v>0</v>
      </c>
      <c r="K33" s="78">
        <f t="shared" si="55"/>
        <v>0</v>
      </c>
      <c r="L33" s="78">
        <f t="shared" si="55"/>
        <v>0</v>
      </c>
      <c r="M33" s="78">
        <f t="shared" si="55"/>
        <v>0</v>
      </c>
      <c r="N33" s="78">
        <f t="shared" si="55"/>
        <v>0</v>
      </c>
      <c r="O33" s="78">
        <f t="shared" si="55"/>
        <v>0</v>
      </c>
      <c r="P33" s="78">
        <f t="shared" si="55"/>
        <v>0</v>
      </c>
      <c r="Q33" s="78">
        <f t="shared" si="55"/>
        <v>0</v>
      </c>
      <c r="R33" s="79">
        <f t="shared" si="55"/>
        <v>0</v>
      </c>
      <c r="S33" s="83">
        <f t="shared" si="5"/>
        <v>2.375</v>
      </c>
      <c r="T33" s="80">
        <f t="shared" si="6"/>
        <v>1</v>
      </c>
      <c r="U33" s="80">
        <f t="shared" si="7"/>
        <v>0</v>
      </c>
      <c r="V33" s="80">
        <f t="shared" si="8"/>
        <v>0</v>
      </c>
      <c r="W33" s="80">
        <f t="shared" si="9"/>
        <v>0</v>
      </c>
      <c r="X33" s="80">
        <f t="shared" si="10"/>
        <v>0</v>
      </c>
      <c r="Y33" s="80">
        <f t="shared" si="11"/>
        <v>0</v>
      </c>
      <c r="Z33" s="80">
        <f t="shared" si="12"/>
        <v>0</v>
      </c>
      <c r="AA33" s="80">
        <f t="shared" si="13"/>
        <v>0</v>
      </c>
      <c r="AB33" s="80">
        <f t="shared" si="14"/>
        <v>0</v>
      </c>
      <c r="AC33" s="80">
        <f t="shared" si="15"/>
        <v>0</v>
      </c>
      <c r="AD33" s="80">
        <f t="shared" si="16"/>
        <v>0</v>
      </c>
      <c r="AE33" s="80">
        <f t="shared" si="17"/>
        <v>0</v>
      </c>
      <c r="AF33" s="80">
        <f t="shared" si="18"/>
        <v>0</v>
      </c>
      <c r="AG33" s="80">
        <f t="shared" si="19"/>
        <v>0</v>
      </c>
      <c r="AH33" s="80">
        <f t="shared" si="20"/>
        <v>0</v>
      </c>
      <c r="AI33" s="80">
        <f t="shared" si="21"/>
        <v>0</v>
      </c>
      <c r="AJ33" s="80">
        <f t="shared" si="22"/>
        <v>0</v>
      </c>
      <c r="AK33" s="80">
        <f t="shared" ref="AK33:BA33" si="56">T33+AK32</f>
        <v>8</v>
      </c>
      <c r="AL33" s="81">
        <f t="shared" si="56"/>
        <v>9</v>
      </c>
      <c r="AM33" s="81">
        <f t="shared" si="56"/>
        <v>0</v>
      </c>
      <c r="AN33" s="81">
        <f t="shared" si="56"/>
        <v>0</v>
      </c>
      <c r="AO33" s="81">
        <f t="shared" si="56"/>
        <v>0</v>
      </c>
      <c r="AP33" s="81">
        <f t="shared" si="56"/>
        <v>0</v>
      </c>
      <c r="AQ33" s="81">
        <f t="shared" si="56"/>
        <v>0</v>
      </c>
      <c r="AR33" s="81">
        <f t="shared" si="56"/>
        <v>0</v>
      </c>
      <c r="AS33" s="81">
        <f t="shared" si="56"/>
        <v>0</v>
      </c>
      <c r="AT33" s="81">
        <f t="shared" si="56"/>
        <v>0</v>
      </c>
      <c r="AU33" s="81">
        <f t="shared" si="56"/>
        <v>0</v>
      </c>
      <c r="AV33" s="81">
        <f t="shared" si="56"/>
        <v>0</v>
      </c>
      <c r="AW33" s="81">
        <f t="shared" si="56"/>
        <v>0</v>
      </c>
      <c r="AX33" s="81">
        <f t="shared" si="56"/>
        <v>0</v>
      </c>
      <c r="AY33" s="81">
        <f t="shared" si="56"/>
        <v>0</v>
      </c>
      <c r="AZ33" s="81">
        <f t="shared" si="56"/>
        <v>0</v>
      </c>
      <c r="BA33" s="82">
        <f t="shared" si="56"/>
        <v>0</v>
      </c>
      <c r="BB33" s="39" t="str">
        <f t="shared" si="24"/>
        <v>Liste 1</v>
      </c>
      <c r="BC33" s="39"/>
      <c r="BD33" s="39"/>
      <c r="BE33" s="39"/>
      <c r="BF33" s="39"/>
      <c r="BG33" s="39"/>
      <c r="BH33" s="39"/>
      <c r="BI33" s="39"/>
      <c r="BJ33" s="39"/>
      <c r="BK33" s="39"/>
      <c r="BL33" s="39"/>
      <c r="BM33" s="39"/>
    </row>
    <row r="34" spans="1:65" ht="16" x14ac:dyDescent="0.2">
      <c r="A34" s="77">
        <v>18</v>
      </c>
      <c r="B34" s="78">
        <f t="shared" ref="B34:R34" si="57">B$12/(AK33+1)</f>
        <v>2.1111111111111112</v>
      </c>
      <c r="C34" s="78">
        <f t="shared" si="57"/>
        <v>2.2000000000000002</v>
      </c>
      <c r="D34" s="78">
        <f t="shared" si="57"/>
        <v>0</v>
      </c>
      <c r="E34" s="78">
        <f t="shared" si="57"/>
        <v>0</v>
      </c>
      <c r="F34" s="78">
        <f t="shared" si="57"/>
        <v>0</v>
      </c>
      <c r="G34" s="78">
        <f t="shared" si="57"/>
        <v>0</v>
      </c>
      <c r="H34" s="78">
        <f t="shared" si="57"/>
        <v>0</v>
      </c>
      <c r="I34" s="78">
        <f t="shared" si="57"/>
        <v>0</v>
      </c>
      <c r="J34" s="78">
        <f t="shared" si="57"/>
        <v>0</v>
      </c>
      <c r="K34" s="78">
        <f t="shared" si="57"/>
        <v>0</v>
      </c>
      <c r="L34" s="78">
        <f t="shared" si="57"/>
        <v>0</v>
      </c>
      <c r="M34" s="78">
        <f t="shared" si="57"/>
        <v>0</v>
      </c>
      <c r="N34" s="78">
        <f t="shared" si="57"/>
        <v>0</v>
      </c>
      <c r="O34" s="78">
        <f t="shared" si="57"/>
        <v>0</v>
      </c>
      <c r="P34" s="78">
        <f t="shared" si="57"/>
        <v>0</v>
      </c>
      <c r="Q34" s="78">
        <f t="shared" si="57"/>
        <v>0</v>
      </c>
      <c r="R34" s="79">
        <f t="shared" si="57"/>
        <v>0</v>
      </c>
      <c r="S34" s="84">
        <f t="shared" si="5"/>
        <v>2.2000000000000002</v>
      </c>
      <c r="T34" s="80">
        <f t="shared" si="6"/>
        <v>0</v>
      </c>
      <c r="U34" s="80">
        <f t="shared" si="7"/>
        <v>1</v>
      </c>
      <c r="V34" s="80">
        <f t="shared" si="8"/>
        <v>0</v>
      </c>
      <c r="W34" s="80">
        <f t="shared" si="9"/>
        <v>0</v>
      </c>
      <c r="X34" s="80">
        <f t="shared" si="10"/>
        <v>0</v>
      </c>
      <c r="Y34" s="80">
        <f t="shared" si="11"/>
        <v>0</v>
      </c>
      <c r="Z34" s="80">
        <f t="shared" si="12"/>
        <v>0</v>
      </c>
      <c r="AA34" s="80">
        <f t="shared" si="13"/>
        <v>0</v>
      </c>
      <c r="AB34" s="80">
        <f t="shared" si="14"/>
        <v>0</v>
      </c>
      <c r="AC34" s="80">
        <f t="shared" si="15"/>
        <v>0</v>
      </c>
      <c r="AD34" s="80">
        <f t="shared" si="16"/>
        <v>0</v>
      </c>
      <c r="AE34" s="80">
        <f t="shared" si="17"/>
        <v>0</v>
      </c>
      <c r="AF34" s="80">
        <f t="shared" si="18"/>
        <v>0</v>
      </c>
      <c r="AG34" s="80">
        <f t="shared" si="19"/>
        <v>0</v>
      </c>
      <c r="AH34" s="80">
        <f t="shared" si="20"/>
        <v>0</v>
      </c>
      <c r="AI34" s="80">
        <f t="shared" si="21"/>
        <v>0</v>
      </c>
      <c r="AJ34" s="80">
        <f t="shared" si="22"/>
        <v>0</v>
      </c>
      <c r="AK34" s="80">
        <f t="shared" ref="AK34:BA34" si="58">T34+AK33</f>
        <v>8</v>
      </c>
      <c r="AL34" s="81">
        <f t="shared" si="58"/>
        <v>10</v>
      </c>
      <c r="AM34" s="81">
        <f t="shared" si="58"/>
        <v>0</v>
      </c>
      <c r="AN34" s="81">
        <f t="shared" si="58"/>
        <v>0</v>
      </c>
      <c r="AO34" s="81">
        <f t="shared" si="58"/>
        <v>0</v>
      </c>
      <c r="AP34" s="81">
        <f t="shared" si="58"/>
        <v>0</v>
      </c>
      <c r="AQ34" s="81">
        <f t="shared" si="58"/>
        <v>0</v>
      </c>
      <c r="AR34" s="81">
        <f t="shared" si="58"/>
        <v>0</v>
      </c>
      <c r="AS34" s="81">
        <f t="shared" si="58"/>
        <v>0</v>
      </c>
      <c r="AT34" s="81">
        <f t="shared" si="58"/>
        <v>0</v>
      </c>
      <c r="AU34" s="81">
        <f t="shared" si="58"/>
        <v>0</v>
      </c>
      <c r="AV34" s="81">
        <f t="shared" si="58"/>
        <v>0</v>
      </c>
      <c r="AW34" s="81">
        <f t="shared" si="58"/>
        <v>0</v>
      </c>
      <c r="AX34" s="81">
        <f t="shared" si="58"/>
        <v>0</v>
      </c>
      <c r="AY34" s="81">
        <f t="shared" si="58"/>
        <v>0</v>
      </c>
      <c r="AZ34" s="81">
        <f t="shared" si="58"/>
        <v>0</v>
      </c>
      <c r="BA34" s="82">
        <f t="shared" si="58"/>
        <v>0</v>
      </c>
      <c r="BB34" s="39" t="str">
        <f t="shared" si="24"/>
        <v>Liste 2</v>
      </c>
      <c r="BC34" s="39"/>
      <c r="BD34" s="39"/>
      <c r="BE34" s="39"/>
      <c r="BF34" s="39"/>
      <c r="BG34" s="39"/>
      <c r="BH34" s="39"/>
      <c r="BI34" s="39"/>
      <c r="BJ34" s="39"/>
      <c r="BK34" s="39"/>
      <c r="BL34" s="39"/>
      <c r="BM34" s="39"/>
    </row>
    <row r="35" spans="1:65" ht="16" x14ac:dyDescent="0.2">
      <c r="A35" s="77">
        <v>19</v>
      </c>
      <c r="B35" s="78">
        <f t="shared" ref="B35:R35" si="59">B$12/(AK34+1)</f>
        <v>2.1111111111111112</v>
      </c>
      <c r="C35" s="78">
        <f t="shared" si="59"/>
        <v>2</v>
      </c>
      <c r="D35" s="78">
        <f t="shared" si="59"/>
        <v>0</v>
      </c>
      <c r="E35" s="78">
        <f t="shared" si="59"/>
        <v>0</v>
      </c>
      <c r="F35" s="78">
        <f t="shared" si="59"/>
        <v>0</v>
      </c>
      <c r="G35" s="78">
        <f t="shared" si="59"/>
        <v>0</v>
      </c>
      <c r="H35" s="78">
        <f t="shared" si="59"/>
        <v>0</v>
      </c>
      <c r="I35" s="78">
        <f t="shared" si="59"/>
        <v>0</v>
      </c>
      <c r="J35" s="78">
        <f t="shared" si="59"/>
        <v>0</v>
      </c>
      <c r="K35" s="78">
        <f t="shared" si="59"/>
        <v>0</v>
      </c>
      <c r="L35" s="78">
        <f t="shared" si="59"/>
        <v>0</v>
      </c>
      <c r="M35" s="78">
        <f t="shared" si="59"/>
        <v>0</v>
      </c>
      <c r="N35" s="78">
        <f t="shared" si="59"/>
        <v>0</v>
      </c>
      <c r="O35" s="78">
        <f t="shared" si="59"/>
        <v>0</v>
      </c>
      <c r="P35" s="78">
        <f t="shared" si="59"/>
        <v>0</v>
      </c>
      <c r="Q35" s="78">
        <f t="shared" si="59"/>
        <v>0</v>
      </c>
      <c r="R35" s="79">
        <f t="shared" si="59"/>
        <v>0</v>
      </c>
      <c r="S35" s="79">
        <f t="shared" si="5"/>
        <v>2.1111111111111112</v>
      </c>
      <c r="T35" s="80">
        <f t="shared" si="6"/>
        <v>1</v>
      </c>
      <c r="U35" s="80">
        <f t="shared" si="7"/>
        <v>0</v>
      </c>
      <c r="V35" s="80">
        <f t="shared" si="8"/>
        <v>0</v>
      </c>
      <c r="W35" s="80">
        <f t="shared" si="9"/>
        <v>0</v>
      </c>
      <c r="X35" s="80">
        <f t="shared" si="10"/>
        <v>0</v>
      </c>
      <c r="Y35" s="80">
        <f t="shared" si="11"/>
        <v>0</v>
      </c>
      <c r="Z35" s="80">
        <f t="shared" si="12"/>
        <v>0</v>
      </c>
      <c r="AA35" s="80">
        <f t="shared" si="13"/>
        <v>0</v>
      </c>
      <c r="AB35" s="80">
        <f t="shared" si="14"/>
        <v>0</v>
      </c>
      <c r="AC35" s="80">
        <f t="shared" si="15"/>
        <v>0</v>
      </c>
      <c r="AD35" s="80">
        <f t="shared" si="16"/>
        <v>0</v>
      </c>
      <c r="AE35" s="80">
        <f t="shared" si="17"/>
        <v>0</v>
      </c>
      <c r="AF35" s="80">
        <f t="shared" si="18"/>
        <v>0</v>
      </c>
      <c r="AG35" s="80">
        <f t="shared" si="19"/>
        <v>0</v>
      </c>
      <c r="AH35" s="80">
        <f t="shared" si="20"/>
        <v>0</v>
      </c>
      <c r="AI35" s="80">
        <f t="shared" si="21"/>
        <v>0</v>
      </c>
      <c r="AJ35" s="80">
        <f t="shared" si="22"/>
        <v>0</v>
      </c>
      <c r="AK35" s="80">
        <f t="shared" ref="AK35:BA35" si="60">T35+AK34</f>
        <v>9</v>
      </c>
      <c r="AL35" s="81">
        <f t="shared" si="60"/>
        <v>10</v>
      </c>
      <c r="AM35" s="81">
        <f t="shared" si="60"/>
        <v>0</v>
      </c>
      <c r="AN35" s="81">
        <f t="shared" si="60"/>
        <v>0</v>
      </c>
      <c r="AO35" s="81">
        <f t="shared" si="60"/>
        <v>0</v>
      </c>
      <c r="AP35" s="81">
        <f t="shared" si="60"/>
        <v>0</v>
      </c>
      <c r="AQ35" s="81">
        <f t="shared" si="60"/>
        <v>0</v>
      </c>
      <c r="AR35" s="81">
        <f t="shared" si="60"/>
        <v>0</v>
      </c>
      <c r="AS35" s="81">
        <f t="shared" si="60"/>
        <v>0</v>
      </c>
      <c r="AT35" s="81">
        <f t="shared" si="60"/>
        <v>0</v>
      </c>
      <c r="AU35" s="81">
        <f t="shared" si="60"/>
        <v>0</v>
      </c>
      <c r="AV35" s="81">
        <f t="shared" si="60"/>
        <v>0</v>
      </c>
      <c r="AW35" s="81">
        <f t="shared" si="60"/>
        <v>0</v>
      </c>
      <c r="AX35" s="81">
        <f t="shared" si="60"/>
        <v>0</v>
      </c>
      <c r="AY35" s="81">
        <f t="shared" si="60"/>
        <v>0</v>
      </c>
      <c r="AZ35" s="81">
        <f t="shared" si="60"/>
        <v>0</v>
      </c>
      <c r="BA35" s="82">
        <f t="shared" si="60"/>
        <v>0</v>
      </c>
      <c r="BB35" s="39" t="str">
        <f t="shared" si="24"/>
        <v>Liste 1</v>
      </c>
      <c r="BC35" s="39"/>
      <c r="BD35" s="39"/>
      <c r="BE35" s="39"/>
      <c r="BF35" s="39"/>
      <c r="BG35" s="39"/>
      <c r="BH35" s="39"/>
      <c r="BI35" s="39"/>
      <c r="BJ35" s="39"/>
      <c r="BK35" s="39"/>
      <c r="BL35" s="39"/>
      <c r="BM35" s="39"/>
    </row>
    <row r="36" spans="1:65" ht="16" x14ac:dyDescent="0.2">
      <c r="A36" s="77">
        <v>20</v>
      </c>
      <c r="B36" s="78">
        <f t="shared" ref="B36:R36" si="61">B$12/(AK35+1)</f>
        <v>1.9</v>
      </c>
      <c r="C36" s="78">
        <f t="shared" si="61"/>
        <v>2</v>
      </c>
      <c r="D36" s="78">
        <f t="shared" si="61"/>
        <v>0</v>
      </c>
      <c r="E36" s="78">
        <f t="shared" si="61"/>
        <v>0</v>
      </c>
      <c r="F36" s="78">
        <f t="shared" si="61"/>
        <v>0</v>
      </c>
      <c r="G36" s="78">
        <f t="shared" si="61"/>
        <v>0</v>
      </c>
      <c r="H36" s="78">
        <f t="shared" si="61"/>
        <v>0</v>
      </c>
      <c r="I36" s="78">
        <f t="shared" si="61"/>
        <v>0</v>
      </c>
      <c r="J36" s="78">
        <f t="shared" si="61"/>
        <v>0</v>
      </c>
      <c r="K36" s="78">
        <f t="shared" si="61"/>
        <v>0</v>
      </c>
      <c r="L36" s="78">
        <f t="shared" si="61"/>
        <v>0</v>
      </c>
      <c r="M36" s="78">
        <f t="shared" si="61"/>
        <v>0</v>
      </c>
      <c r="N36" s="78">
        <f t="shared" si="61"/>
        <v>0</v>
      </c>
      <c r="O36" s="78">
        <f t="shared" si="61"/>
        <v>0</v>
      </c>
      <c r="P36" s="78">
        <f t="shared" si="61"/>
        <v>0</v>
      </c>
      <c r="Q36" s="78">
        <f t="shared" si="61"/>
        <v>0</v>
      </c>
      <c r="R36" s="79">
        <f t="shared" si="61"/>
        <v>0</v>
      </c>
      <c r="S36" s="79">
        <f t="shared" si="5"/>
        <v>2</v>
      </c>
      <c r="T36" s="80">
        <f t="shared" si="6"/>
        <v>0</v>
      </c>
      <c r="U36" s="80">
        <f t="shared" si="7"/>
        <v>1</v>
      </c>
      <c r="V36" s="80">
        <f t="shared" si="8"/>
        <v>0</v>
      </c>
      <c r="W36" s="80">
        <f t="shared" si="9"/>
        <v>0</v>
      </c>
      <c r="X36" s="80">
        <f t="shared" si="10"/>
        <v>0</v>
      </c>
      <c r="Y36" s="80">
        <f t="shared" si="11"/>
        <v>0</v>
      </c>
      <c r="Z36" s="80">
        <f t="shared" si="12"/>
        <v>0</v>
      </c>
      <c r="AA36" s="80">
        <f t="shared" si="13"/>
        <v>0</v>
      </c>
      <c r="AB36" s="80">
        <f t="shared" si="14"/>
        <v>0</v>
      </c>
      <c r="AC36" s="80">
        <f t="shared" si="15"/>
        <v>0</v>
      </c>
      <c r="AD36" s="80">
        <f t="shared" si="16"/>
        <v>0</v>
      </c>
      <c r="AE36" s="80">
        <f t="shared" si="17"/>
        <v>0</v>
      </c>
      <c r="AF36" s="80">
        <f t="shared" si="18"/>
        <v>0</v>
      </c>
      <c r="AG36" s="80">
        <f t="shared" si="19"/>
        <v>0</v>
      </c>
      <c r="AH36" s="80">
        <f t="shared" si="20"/>
        <v>0</v>
      </c>
      <c r="AI36" s="80">
        <f t="shared" si="21"/>
        <v>0</v>
      </c>
      <c r="AJ36" s="80">
        <f t="shared" si="22"/>
        <v>0</v>
      </c>
      <c r="AK36" s="80">
        <f t="shared" ref="AK36:BA36" si="62">T36+AK35</f>
        <v>9</v>
      </c>
      <c r="AL36" s="81">
        <f t="shared" si="62"/>
        <v>11</v>
      </c>
      <c r="AM36" s="81">
        <f t="shared" si="62"/>
        <v>0</v>
      </c>
      <c r="AN36" s="81">
        <f t="shared" si="62"/>
        <v>0</v>
      </c>
      <c r="AO36" s="81">
        <f t="shared" si="62"/>
        <v>0</v>
      </c>
      <c r="AP36" s="81">
        <f t="shared" si="62"/>
        <v>0</v>
      </c>
      <c r="AQ36" s="81">
        <f t="shared" si="62"/>
        <v>0</v>
      </c>
      <c r="AR36" s="81">
        <f t="shared" si="62"/>
        <v>0</v>
      </c>
      <c r="AS36" s="81">
        <f t="shared" si="62"/>
        <v>0</v>
      </c>
      <c r="AT36" s="81">
        <f t="shared" si="62"/>
        <v>0</v>
      </c>
      <c r="AU36" s="81">
        <f t="shared" si="62"/>
        <v>0</v>
      </c>
      <c r="AV36" s="81">
        <f t="shared" si="62"/>
        <v>0</v>
      </c>
      <c r="AW36" s="81">
        <f t="shared" si="62"/>
        <v>0</v>
      </c>
      <c r="AX36" s="81">
        <f t="shared" si="62"/>
        <v>0</v>
      </c>
      <c r="AY36" s="81">
        <f t="shared" si="62"/>
        <v>0</v>
      </c>
      <c r="AZ36" s="81">
        <f t="shared" si="62"/>
        <v>0</v>
      </c>
      <c r="BA36" s="82">
        <f t="shared" si="62"/>
        <v>0</v>
      </c>
      <c r="BB36" s="39" t="str">
        <f t="shared" si="24"/>
        <v>Liste 2</v>
      </c>
      <c r="BC36" s="39"/>
      <c r="BD36" s="39"/>
      <c r="BE36" s="39"/>
      <c r="BF36" s="39"/>
      <c r="BG36" s="39"/>
      <c r="BH36" s="39"/>
      <c r="BI36" s="39"/>
      <c r="BJ36" s="39"/>
      <c r="BK36" s="39"/>
      <c r="BL36" s="39"/>
      <c r="BM36" s="39"/>
    </row>
    <row r="37" spans="1:65" ht="16" x14ac:dyDescent="0.2">
      <c r="A37" s="77">
        <v>21</v>
      </c>
      <c r="B37" s="78">
        <f t="shared" ref="B37:R37" si="63">B$12/(AK36+1)</f>
        <v>1.9</v>
      </c>
      <c r="C37" s="78">
        <f t="shared" si="63"/>
        <v>1.8333333333333333</v>
      </c>
      <c r="D37" s="78">
        <f t="shared" si="63"/>
        <v>0</v>
      </c>
      <c r="E37" s="78">
        <f t="shared" si="63"/>
        <v>0</v>
      </c>
      <c r="F37" s="78">
        <f t="shared" si="63"/>
        <v>0</v>
      </c>
      <c r="G37" s="78">
        <f t="shared" si="63"/>
        <v>0</v>
      </c>
      <c r="H37" s="78">
        <f t="shared" si="63"/>
        <v>0</v>
      </c>
      <c r="I37" s="78">
        <f t="shared" si="63"/>
        <v>0</v>
      </c>
      <c r="J37" s="78">
        <f t="shared" si="63"/>
        <v>0</v>
      </c>
      <c r="K37" s="78">
        <f t="shared" si="63"/>
        <v>0</v>
      </c>
      <c r="L37" s="78">
        <f t="shared" si="63"/>
        <v>0</v>
      </c>
      <c r="M37" s="78">
        <f t="shared" si="63"/>
        <v>0</v>
      </c>
      <c r="N37" s="78">
        <f t="shared" si="63"/>
        <v>0</v>
      </c>
      <c r="O37" s="78">
        <f t="shared" si="63"/>
        <v>0</v>
      </c>
      <c r="P37" s="78">
        <f t="shared" si="63"/>
        <v>0</v>
      </c>
      <c r="Q37" s="78">
        <f t="shared" si="63"/>
        <v>0</v>
      </c>
      <c r="R37" s="79">
        <f t="shared" si="63"/>
        <v>0</v>
      </c>
      <c r="S37" s="79">
        <f t="shared" si="5"/>
        <v>1.9</v>
      </c>
      <c r="T37" s="80">
        <f t="shared" si="6"/>
        <v>1</v>
      </c>
      <c r="U37" s="80">
        <f t="shared" si="7"/>
        <v>0</v>
      </c>
      <c r="V37" s="80">
        <f t="shared" si="8"/>
        <v>0</v>
      </c>
      <c r="W37" s="80">
        <f t="shared" si="9"/>
        <v>0</v>
      </c>
      <c r="X37" s="80">
        <f t="shared" si="10"/>
        <v>0</v>
      </c>
      <c r="Y37" s="80">
        <f t="shared" si="11"/>
        <v>0</v>
      </c>
      <c r="Z37" s="80">
        <f t="shared" si="12"/>
        <v>0</v>
      </c>
      <c r="AA37" s="80">
        <f t="shared" si="13"/>
        <v>0</v>
      </c>
      <c r="AB37" s="80">
        <f t="shared" si="14"/>
        <v>0</v>
      </c>
      <c r="AC37" s="80">
        <f t="shared" si="15"/>
        <v>0</v>
      </c>
      <c r="AD37" s="80">
        <f t="shared" si="16"/>
        <v>0</v>
      </c>
      <c r="AE37" s="80">
        <f t="shared" si="17"/>
        <v>0</v>
      </c>
      <c r="AF37" s="80">
        <f t="shared" si="18"/>
        <v>0</v>
      </c>
      <c r="AG37" s="80">
        <f t="shared" si="19"/>
        <v>0</v>
      </c>
      <c r="AH37" s="80">
        <f t="shared" si="20"/>
        <v>0</v>
      </c>
      <c r="AI37" s="80">
        <f t="shared" si="21"/>
        <v>0</v>
      </c>
      <c r="AJ37" s="80">
        <f t="shared" si="22"/>
        <v>0</v>
      </c>
      <c r="AK37" s="80">
        <f t="shared" ref="AK37:BA37" si="64">T37+AK36</f>
        <v>10</v>
      </c>
      <c r="AL37" s="81">
        <f t="shared" si="64"/>
        <v>11</v>
      </c>
      <c r="AM37" s="81">
        <f t="shared" si="64"/>
        <v>0</v>
      </c>
      <c r="AN37" s="81">
        <f t="shared" si="64"/>
        <v>0</v>
      </c>
      <c r="AO37" s="81">
        <f t="shared" si="64"/>
        <v>0</v>
      </c>
      <c r="AP37" s="81">
        <f t="shared" si="64"/>
        <v>0</v>
      </c>
      <c r="AQ37" s="81">
        <f t="shared" si="64"/>
        <v>0</v>
      </c>
      <c r="AR37" s="81">
        <f t="shared" si="64"/>
        <v>0</v>
      </c>
      <c r="AS37" s="81">
        <f t="shared" si="64"/>
        <v>0</v>
      </c>
      <c r="AT37" s="81">
        <f t="shared" si="64"/>
        <v>0</v>
      </c>
      <c r="AU37" s="81">
        <f t="shared" si="64"/>
        <v>0</v>
      </c>
      <c r="AV37" s="81">
        <f t="shared" si="64"/>
        <v>0</v>
      </c>
      <c r="AW37" s="81">
        <f t="shared" si="64"/>
        <v>0</v>
      </c>
      <c r="AX37" s="81">
        <f t="shared" si="64"/>
        <v>0</v>
      </c>
      <c r="AY37" s="81">
        <f t="shared" si="64"/>
        <v>0</v>
      </c>
      <c r="AZ37" s="81">
        <f t="shared" si="64"/>
        <v>0</v>
      </c>
      <c r="BA37" s="82">
        <f t="shared" si="64"/>
        <v>0</v>
      </c>
      <c r="BB37" s="39" t="str">
        <f t="shared" si="24"/>
        <v>Liste 1</v>
      </c>
      <c r="BC37" s="39"/>
      <c r="BD37" s="39"/>
      <c r="BE37" s="39"/>
      <c r="BF37" s="39"/>
      <c r="BG37" s="39"/>
      <c r="BH37" s="39"/>
      <c r="BI37" s="39"/>
      <c r="BJ37" s="39"/>
      <c r="BK37" s="39"/>
      <c r="BL37" s="39"/>
      <c r="BM37" s="39"/>
    </row>
    <row r="38" spans="1:65" ht="16" x14ac:dyDescent="0.2">
      <c r="A38" s="77">
        <v>22</v>
      </c>
      <c r="B38" s="78">
        <f t="shared" ref="B38:R38" si="65">B$12/(AK37+1)</f>
        <v>1.7272727272727273</v>
      </c>
      <c r="C38" s="78">
        <f t="shared" si="65"/>
        <v>1.8333333333333333</v>
      </c>
      <c r="D38" s="78">
        <f t="shared" si="65"/>
        <v>0</v>
      </c>
      <c r="E38" s="78">
        <f t="shared" si="65"/>
        <v>0</v>
      </c>
      <c r="F38" s="78">
        <f t="shared" si="65"/>
        <v>0</v>
      </c>
      <c r="G38" s="78">
        <f t="shared" si="65"/>
        <v>0</v>
      </c>
      <c r="H38" s="78">
        <f t="shared" si="65"/>
        <v>0</v>
      </c>
      <c r="I38" s="78">
        <f t="shared" si="65"/>
        <v>0</v>
      </c>
      <c r="J38" s="78">
        <f t="shared" si="65"/>
        <v>0</v>
      </c>
      <c r="K38" s="78">
        <f t="shared" si="65"/>
        <v>0</v>
      </c>
      <c r="L38" s="78">
        <f t="shared" si="65"/>
        <v>0</v>
      </c>
      <c r="M38" s="78">
        <f t="shared" si="65"/>
        <v>0</v>
      </c>
      <c r="N38" s="78">
        <f t="shared" si="65"/>
        <v>0</v>
      </c>
      <c r="O38" s="78">
        <f t="shared" si="65"/>
        <v>0</v>
      </c>
      <c r="P38" s="78">
        <f t="shared" si="65"/>
        <v>0</v>
      </c>
      <c r="Q38" s="78">
        <f t="shared" si="65"/>
        <v>0</v>
      </c>
      <c r="R38" s="79">
        <f t="shared" si="65"/>
        <v>0</v>
      </c>
      <c r="S38" s="79">
        <f t="shared" si="5"/>
        <v>1.8333333333333333</v>
      </c>
      <c r="T38" s="80">
        <f t="shared" si="6"/>
        <v>0</v>
      </c>
      <c r="U38" s="80">
        <f t="shared" si="7"/>
        <v>1</v>
      </c>
      <c r="V38" s="80">
        <f t="shared" si="8"/>
        <v>0</v>
      </c>
      <c r="W38" s="80">
        <f t="shared" si="9"/>
        <v>0</v>
      </c>
      <c r="X38" s="80">
        <f t="shared" si="10"/>
        <v>0</v>
      </c>
      <c r="Y38" s="80">
        <f t="shared" si="11"/>
        <v>0</v>
      </c>
      <c r="Z38" s="80">
        <f t="shared" si="12"/>
        <v>0</v>
      </c>
      <c r="AA38" s="80">
        <f t="shared" si="13"/>
        <v>0</v>
      </c>
      <c r="AB38" s="80">
        <f t="shared" si="14"/>
        <v>0</v>
      </c>
      <c r="AC38" s="80">
        <f t="shared" si="15"/>
        <v>0</v>
      </c>
      <c r="AD38" s="80">
        <f t="shared" si="16"/>
        <v>0</v>
      </c>
      <c r="AE38" s="80">
        <f t="shared" si="17"/>
        <v>0</v>
      </c>
      <c r="AF38" s="80">
        <f t="shared" si="18"/>
        <v>0</v>
      </c>
      <c r="AG38" s="80">
        <f t="shared" si="19"/>
        <v>0</v>
      </c>
      <c r="AH38" s="80">
        <f t="shared" si="20"/>
        <v>0</v>
      </c>
      <c r="AI38" s="80">
        <f t="shared" si="21"/>
        <v>0</v>
      </c>
      <c r="AJ38" s="80">
        <f t="shared" si="22"/>
        <v>0</v>
      </c>
      <c r="AK38" s="80">
        <f t="shared" ref="AK38:BA38" si="66">T38+AK37</f>
        <v>10</v>
      </c>
      <c r="AL38" s="81">
        <f t="shared" si="66"/>
        <v>12</v>
      </c>
      <c r="AM38" s="81">
        <f t="shared" si="66"/>
        <v>0</v>
      </c>
      <c r="AN38" s="81">
        <f t="shared" si="66"/>
        <v>0</v>
      </c>
      <c r="AO38" s="81">
        <f t="shared" si="66"/>
        <v>0</v>
      </c>
      <c r="AP38" s="81">
        <f t="shared" si="66"/>
        <v>0</v>
      </c>
      <c r="AQ38" s="81">
        <f t="shared" si="66"/>
        <v>0</v>
      </c>
      <c r="AR38" s="81">
        <f t="shared" si="66"/>
        <v>0</v>
      </c>
      <c r="AS38" s="81">
        <f t="shared" si="66"/>
        <v>0</v>
      </c>
      <c r="AT38" s="81">
        <f t="shared" si="66"/>
        <v>0</v>
      </c>
      <c r="AU38" s="81">
        <f t="shared" si="66"/>
        <v>0</v>
      </c>
      <c r="AV38" s="81">
        <f t="shared" si="66"/>
        <v>0</v>
      </c>
      <c r="AW38" s="81">
        <f t="shared" si="66"/>
        <v>0</v>
      </c>
      <c r="AX38" s="81">
        <f t="shared" si="66"/>
        <v>0</v>
      </c>
      <c r="AY38" s="81">
        <f t="shared" si="66"/>
        <v>0</v>
      </c>
      <c r="AZ38" s="81">
        <f t="shared" si="66"/>
        <v>0</v>
      </c>
      <c r="BA38" s="82">
        <f t="shared" si="66"/>
        <v>0</v>
      </c>
      <c r="BB38" s="39" t="str">
        <f t="shared" si="24"/>
        <v>Liste 2</v>
      </c>
      <c r="BC38" s="39"/>
      <c r="BD38" s="39"/>
      <c r="BE38" s="39"/>
      <c r="BF38" s="39"/>
      <c r="BG38" s="39"/>
      <c r="BH38" s="39"/>
      <c r="BI38" s="39"/>
      <c r="BJ38" s="39"/>
      <c r="BK38" s="39"/>
      <c r="BL38" s="39"/>
      <c r="BM38" s="39"/>
    </row>
    <row r="39" spans="1:65" ht="16" x14ac:dyDescent="0.2">
      <c r="A39" s="77">
        <v>23</v>
      </c>
      <c r="B39" s="78">
        <f t="shared" ref="B39:R39" si="67">B$12/(AK38+1)</f>
        <v>1.7272727272727273</v>
      </c>
      <c r="C39" s="78">
        <f t="shared" si="67"/>
        <v>1.6923076923076923</v>
      </c>
      <c r="D39" s="78">
        <f t="shared" si="67"/>
        <v>0</v>
      </c>
      <c r="E39" s="78">
        <f t="shared" si="67"/>
        <v>0</v>
      </c>
      <c r="F39" s="78">
        <f t="shared" si="67"/>
        <v>0</v>
      </c>
      <c r="G39" s="78">
        <f t="shared" si="67"/>
        <v>0</v>
      </c>
      <c r="H39" s="78">
        <f t="shared" si="67"/>
        <v>0</v>
      </c>
      <c r="I39" s="78">
        <f t="shared" si="67"/>
        <v>0</v>
      </c>
      <c r="J39" s="78">
        <f t="shared" si="67"/>
        <v>0</v>
      </c>
      <c r="K39" s="78">
        <f t="shared" si="67"/>
        <v>0</v>
      </c>
      <c r="L39" s="78">
        <f t="shared" si="67"/>
        <v>0</v>
      </c>
      <c r="M39" s="78">
        <f t="shared" si="67"/>
        <v>0</v>
      </c>
      <c r="N39" s="78">
        <f t="shared" si="67"/>
        <v>0</v>
      </c>
      <c r="O39" s="78">
        <f t="shared" si="67"/>
        <v>0</v>
      </c>
      <c r="P39" s="78">
        <f t="shared" si="67"/>
        <v>0</v>
      </c>
      <c r="Q39" s="78">
        <f t="shared" si="67"/>
        <v>0</v>
      </c>
      <c r="R39" s="79">
        <f t="shared" si="67"/>
        <v>0</v>
      </c>
      <c r="S39" s="79">
        <f t="shared" si="5"/>
        <v>1.7272727272727273</v>
      </c>
      <c r="T39" s="80">
        <f t="shared" si="6"/>
        <v>1</v>
      </c>
      <c r="U39" s="80">
        <f t="shared" si="7"/>
        <v>0</v>
      </c>
      <c r="V39" s="80">
        <f t="shared" si="8"/>
        <v>0</v>
      </c>
      <c r="W39" s="80">
        <f t="shared" si="9"/>
        <v>0</v>
      </c>
      <c r="X39" s="80">
        <f t="shared" si="10"/>
        <v>0</v>
      </c>
      <c r="Y39" s="80">
        <f t="shared" si="11"/>
        <v>0</v>
      </c>
      <c r="Z39" s="80">
        <f t="shared" si="12"/>
        <v>0</v>
      </c>
      <c r="AA39" s="80">
        <f t="shared" si="13"/>
        <v>0</v>
      </c>
      <c r="AB39" s="80">
        <f t="shared" si="14"/>
        <v>0</v>
      </c>
      <c r="AC39" s="80">
        <f t="shared" si="15"/>
        <v>0</v>
      </c>
      <c r="AD39" s="80">
        <f t="shared" si="16"/>
        <v>0</v>
      </c>
      <c r="AE39" s="80">
        <f t="shared" si="17"/>
        <v>0</v>
      </c>
      <c r="AF39" s="80">
        <f t="shared" si="18"/>
        <v>0</v>
      </c>
      <c r="AG39" s="80">
        <f t="shared" si="19"/>
        <v>0</v>
      </c>
      <c r="AH39" s="80">
        <f t="shared" si="20"/>
        <v>0</v>
      </c>
      <c r="AI39" s="80">
        <f t="shared" si="21"/>
        <v>0</v>
      </c>
      <c r="AJ39" s="80">
        <f t="shared" si="22"/>
        <v>0</v>
      </c>
      <c r="AK39" s="80">
        <f t="shared" ref="AK39:BA39" si="68">T39+AK38</f>
        <v>11</v>
      </c>
      <c r="AL39" s="81">
        <f t="shared" si="68"/>
        <v>12</v>
      </c>
      <c r="AM39" s="81">
        <f t="shared" si="68"/>
        <v>0</v>
      </c>
      <c r="AN39" s="81">
        <f t="shared" si="68"/>
        <v>0</v>
      </c>
      <c r="AO39" s="81">
        <f t="shared" si="68"/>
        <v>0</v>
      </c>
      <c r="AP39" s="81">
        <f t="shared" si="68"/>
        <v>0</v>
      </c>
      <c r="AQ39" s="81">
        <f t="shared" si="68"/>
        <v>0</v>
      </c>
      <c r="AR39" s="81">
        <f t="shared" si="68"/>
        <v>0</v>
      </c>
      <c r="AS39" s="81">
        <f t="shared" si="68"/>
        <v>0</v>
      </c>
      <c r="AT39" s="81">
        <f t="shared" si="68"/>
        <v>0</v>
      </c>
      <c r="AU39" s="81">
        <f t="shared" si="68"/>
        <v>0</v>
      </c>
      <c r="AV39" s="81">
        <f t="shared" si="68"/>
        <v>0</v>
      </c>
      <c r="AW39" s="81">
        <f t="shared" si="68"/>
        <v>0</v>
      </c>
      <c r="AX39" s="81">
        <f t="shared" si="68"/>
        <v>0</v>
      </c>
      <c r="AY39" s="81">
        <f t="shared" si="68"/>
        <v>0</v>
      </c>
      <c r="AZ39" s="81">
        <f t="shared" si="68"/>
        <v>0</v>
      </c>
      <c r="BA39" s="82">
        <f t="shared" si="68"/>
        <v>0</v>
      </c>
      <c r="BB39" s="39" t="str">
        <f t="shared" si="24"/>
        <v>Liste 1</v>
      </c>
      <c r="BC39" s="39"/>
      <c r="BD39" s="39"/>
      <c r="BE39" s="39"/>
      <c r="BF39" s="39"/>
      <c r="BG39" s="39"/>
      <c r="BH39" s="39"/>
      <c r="BI39" s="39"/>
      <c r="BJ39" s="39"/>
      <c r="BK39" s="39"/>
      <c r="BL39" s="39"/>
      <c r="BM39" s="39"/>
    </row>
    <row r="40" spans="1:65" ht="16" x14ac:dyDescent="0.2">
      <c r="A40" s="77">
        <v>24</v>
      </c>
      <c r="B40" s="78">
        <f t="shared" ref="B40:R40" si="69">B$12/(AK39+1)</f>
        <v>1.5833333333333333</v>
      </c>
      <c r="C40" s="78">
        <f t="shared" si="69"/>
        <v>1.6923076923076923</v>
      </c>
      <c r="D40" s="78">
        <f t="shared" si="69"/>
        <v>0</v>
      </c>
      <c r="E40" s="78">
        <f t="shared" si="69"/>
        <v>0</v>
      </c>
      <c r="F40" s="78">
        <f t="shared" si="69"/>
        <v>0</v>
      </c>
      <c r="G40" s="78">
        <f t="shared" si="69"/>
        <v>0</v>
      </c>
      <c r="H40" s="78">
        <f t="shared" si="69"/>
        <v>0</v>
      </c>
      <c r="I40" s="78">
        <f t="shared" si="69"/>
        <v>0</v>
      </c>
      <c r="J40" s="78">
        <f t="shared" si="69"/>
        <v>0</v>
      </c>
      <c r="K40" s="78">
        <f t="shared" si="69"/>
        <v>0</v>
      </c>
      <c r="L40" s="78">
        <f t="shared" si="69"/>
        <v>0</v>
      </c>
      <c r="M40" s="78">
        <f t="shared" si="69"/>
        <v>0</v>
      </c>
      <c r="N40" s="78">
        <f t="shared" si="69"/>
        <v>0</v>
      </c>
      <c r="O40" s="78">
        <f t="shared" si="69"/>
        <v>0</v>
      </c>
      <c r="P40" s="78">
        <f t="shared" si="69"/>
        <v>0</v>
      </c>
      <c r="Q40" s="78">
        <f t="shared" si="69"/>
        <v>0</v>
      </c>
      <c r="R40" s="79">
        <f t="shared" si="69"/>
        <v>0</v>
      </c>
      <c r="S40" s="79">
        <f t="shared" si="5"/>
        <v>1.6923076923076923</v>
      </c>
      <c r="T40" s="80">
        <f t="shared" si="6"/>
        <v>0</v>
      </c>
      <c r="U40" s="80">
        <f t="shared" si="7"/>
        <v>1</v>
      </c>
      <c r="V40" s="80">
        <f t="shared" si="8"/>
        <v>0</v>
      </c>
      <c r="W40" s="80">
        <f t="shared" si="9"/>
        <v>0</v>
      </c>
      <c r="X40" s="80">
        <f t="shared" si="10"/>
        <v>0</v>
      </c>
      <c r="Y40" s="80">
        <f t="shared" si="11"/>
        <v>0</v>
      </c>
      <c r="Z40" s="80">
        <f t="shared" si="12"/>
        <v>0</v>
      </c>
      <c r="AA40" s="80">
        <f t="shared" si="13"/>
        <v>0</v>
      </c>
      <c r="AB40" s="80">
        <f t="shared" si="14"/>
        <v>0</v>
      </c>
      <c r="AC40" s="80">
        <f t="shared" si="15"/>
        <v>0</v>
      </c>
      <c r="AD40" s="80">
        <f t="shared" si="16"/>
        <v>0</v>
      </c>
      <c r="AE40" s="80">
        <f t="shared" si="17"/>
        <v>0</v>
      </c>
      <c r="AF40" s="80">
        <f t="shared" si="18"/>
        <v>0</v>
      </c>
      <c r="AG40" s="80">
        <f t="shared" si="19"/>
        <v>0</v>
      </c>
      <c r="AH40" s="80">
        <f t="shared" si="20"/>
        <v>0</v>
      </c>
      <c r="AI40" s="80">
        <f t="shared" si="21"/>
        <v>0</v>
      </c>
      <c r="AJ40" s="80">
        <f t="shared" si="22"/>
        <v>0</v>
      </c>
      <c r="AK40" s="80">
        <f t="shared" ref="AK40:BA40" si="70">T40+AK39</f>
        <v>11</v>
      </c>
      <c r="AL40" s="81">
        <f t="shared" si="70"/>
        <v>13</v>
      </c>
      <c r="AM40" s="81">
        <f t="shared" si="70"/>
        <v>0</v>
      </c>
      <c r="AN40" s="81">
        <f t="shared" si="70"/>
        <v>0</v>
      </c>
      <c r="AO40" s="81">
        <f t="shared" si="70"/>
        <v>0</v>
      </c>
      <c r="AP40" s="81">
        <f t="shared" si="70"/>
        <v>0</v>
      </c>
      <c r="AQ40" s="81">
        <f t="shared" si="70"/>
        <v>0</v>
      </c>
      <c r="AR40" s="81">
        <f t="shared" si="70"/>
        <v>0</v>
      </c>
      <c r="AS40" s="81">
        <f t="shared" si="70"/>
        <v>0</v>
      </c>
      <c r="AT40" s="81">
        <f t="shared" si="70"/>
        <v>0</v>
      </c>
      <c r="AU40" s="81">
        <f t="shared" si="70"/>
        <v>0</v>
      </c>
      <c r="AV40" s="81">
        <f t="shared" si="70"/>
        <v>0</v>
      </c>
      <c r="AW40" s="81">
        <f t="shared" si="70"/>
        <v>0</v>
      </c>
      <c r="AX40" s="81">
        <f t="shared" si="70"/>
        <v>0</v>
      </c>
      <c r="AY40" s="81">
        <f t="shared" si="70"/>
        <v>0</v>
      </c>
      <c r="AZ40" s="81">
        <f t="shared" si="70"/>
        <v>0</v>
      </c>
      <c r="BA40" s="82">
        <f t="shared" si="70"/>
        <v>0</v>
      </c>
      <c r="BB40" s="39" t="str">
        <f t="shared" si="24"/>
        <v>Liste 2</v>
      </c>
      <c r="BC40" s="39"/>
      <c r="BD40" s="39"/>
      <c r="BE40" s="39"/>
      <c r="BF40" s="39"/>
      <c r="BG40" s="39"/>
      <c r="BH40" s="39"/>
      <c r="BI40" s="39"/>
      <c r="BJ40" s="39"/>
      <c r="BK40" s="39"/>
      <c r="BL40" s="39"/>
      <c r="BM40" s="39"/>
    </row>
    <row r="41" spans="1:65" ht="16" x14ac:dyDescent="0.2">
      <c r="A41" s="77">
        <v>25</v>
      </c>
      <c r="B41" s="78">
        <f t="shared" ref="B41:R41" si="71">B$12/(AK40+1)</f>
        <v>1.5833333333333333</v>
      </c>
      <c r="C41" s="78">
        <f t="shared" si="71"/>
        <v>1.5714285714285714</v>
      </c>
      <c r="D41" s="78">
        <f t="shared" si="71"/>
        <v>0</v>
      </c>
      <c r="E41" s="78">
        <f t="shared" si="71"/>
        <v>0</v>
      </c>
      <c r="F41" s="78">
        <f t="shared" si="71"/>
        <v>0</v>
      </c>
      <c r="G41" s="78">
        <f t="shared" si="71"/>
        <v>0</v>
      </c>
      <c r="H41" s="78">
        <f t="shared" si="71"/>
        <v>0</v>
      </c>
      <c r="I41" s="78">
        <f t="shared" si="71"/>
        <v>0</v>
      </c>
      <c r="J41" s="78">
        <f t="shared" si="71"/>
        <v>0</v>
      </c>
      <c r="K41" s="78">
        <f t="shared" si="71"/>
        <v>0</v>
      </c>
      <c r="L41" s="78">
        <f t="shared" si="71"/>
        <v>0</v>
      </c>
      <c r="M41" s="78">
        <f t="shared" si="71"/>
        <v>0</v>
      </c>
      <c r="N41" s="78">
        <f t="shared" si="71"/>
        <v>0</v>
      </c>
      <c r="O41" s="78">
        <f t="shared" si="71"/>
        <v>0</v>
      </c>
      <c r="P41" s="78">
        <f t="shared" si="71"/>
        <v>0</v>
      </c>
      <c r="Q41" s="78">
        <f t="shared" si="71"/>
        <v>0</v>
      </c>
      <c r="R41" s="79">
        <f t="shared" si="71"/>
        <v>0</v>
      </c>
      <c r="S41" s="79">
        <f t="shared" si="5"/>
        <v>1.5833333333333333</v>
      </c>
      <c r="T41" s="80">
        <f t="shared" si="6"/>
        <v>1</v>
      </c>
      <c r="U41" s="80">
        <f t="shared" si="7"/>
        <v>0</v>
      </c>
      <c r="V41" s="80">
        <f t="shared" si="8"/>
        <v>0</v>
      </c>
      <c r="W41" s="80">
        <f t="shared" si="9"/>
        <v>0</v>
      </c>
      <c r="X41" s="80">
        <f t="shared" si="10"/>
        <v>0</v>
      </c>
      <c r="Y41" s="80">
        <f t="shared" si="11"/>
        <v>0</v>
      </c>
      <c r="Z41" s="80">
        <f t="shared" si="12"/>
        <v>0</v>
      </c>
      <c r="AA41" s="80">
        <f t="shared" si="13"/>
        <v>0</v>
      </c>
      <c r="AB41" s="80">
        <f t="shared" si="14"/>
        <v>0</v>
      </c>
      <c r="AC41" s="80">
        <f t="shared" si="15"/>
        <v>0</v>
      </c>
      <c r="AD41" s="80">
        <f t="shared" si="16"/>
        <v>0</v>
      </c>
      <c r="AE41" s="80">
        <f t="shared" si="17"/>
        <v>0</v>
      </c>
      <c r="AF41" s="80">
        <f t="shared" si="18"/>
        <v>0</v>
      </c>
      <c r="AG41" s="80">
        <f t="shared" si="19"/>
        <v>0</v>
      </c>
      <c r="AH41" s="80">
        <f t="shared" si="20"/>
        <v>0</v>
      </c>
      <c r="AI41" s="80">
        <f t="shared" si="21"/>
        <v>0</v>
      </c>
      <c r="AJ41" s="80">
        <f t="shared" si="22"/>
        <v>0</v>
      </c>
      <c r="AK41" s="80">
        <f t="shared" ref="AK41:BA41" si="72">T41+AK40</f>
        <v>12</v>
      </c>
      <c r="AL41" s="81">
        <f t="shared" si="72"/>
        <v>13</v>
      </c>
      <c r="AM41" s="81">
        <f t="shared" si="72"/>
        <v>0</v>
      </c>
      <c r="AN41" s="81">
        <f t="shared" si="72"/>
        <v>0</v>
      </c>
      <c r="AO41" s="81">
        <f t="shared" si="72"/>
        <v>0</v>
      </c>
      <c r="AP41" s="81">
        <f t="shared" si="72"/>
        <v>0</v>
      </c>
      <c r="AQ41" s="81">
        <f t="shared" si="72"/>
        <v>0</v>
      </c>
      <c r="AR41" s="81">
        <f t="shared" si="72"/>
        <v>0</v>
      </c>
      <c r="AS41" s="81">
        <f t="shared" si="72"/>
        <v>0</v>
      </c>
      <c r="AT41" s="81">
        <f t="shared" si="72"/>
        <v>0</v>
      </c>
      <c r="AU41" s="81">
        <f t="shared" si="72"/>
        <v>0</v>
      </c>
      <c r="AV41" s="81">
        <f t="shared" si="72"/>
        <v>0</v>
      </c>
      <c r="AW41" s="81">
        <f t="shared" si="72"/>
        <v>0</v>
      </c>
      <c r="AX41" s="81">
        <f t="shared" si="72"/>
        <v>0</v>
      </c>
      <c r="AY41" s="81">
        <f t="shared" si="72"/>
        <v>0</v>
      </c>
      <c r="AZ41" s="81">
        <f t="shared" si="72"/>
        <v>0</v>
      </c>
      <c r="BA41" s="82">
        <f t="shared" si="72"/>
        <v>0</v>
      </c>
      <c r="BB41" s="39" t="str">
        <f t="shared" si="24"/>
        <v>Liste 1</v>
      </c>
      <c r="BC41" s="39"/>
      <c r="BD41" s="39"/>
      <c r="BE41" s="39"/>
      <c r="BF41" s="39"/>
      <c r="BG41" s="39"/>
      <c r="BH41" s="39"/>
      <c r="BI41" s="39"/>
      <c r="BJ41" s="39"/>
      <c r="BK41" s="39"/>
      <c r="BL41" s="39"/>
      <c r="BM41" s="39"/>
    </row>
    <row r="42" spans="1:65" ht="16" x14ac:dyDescent="0.2">
      <c r="A42" s="77">
        <v>26</v>
      </c>
      <c r="B42" s="78">
        <f t="shared" ref="B42:R42" si="73">B$12/(AK41+1)</f>
        <v>1.4615384615384615</v>
      </c>
      <c r="C42" s="78">
        <f t="shared" si="73"/>
        <v>1.5714285714285714</v>
      </c>
      <c r="D42" s="78">
        <f t="shared" si="73"/>
        <v>0</v>
      </c>
      <c r="E42" s="78">
        <f t="shared" si="73"/>
        <v>0</v>
      </c>
      <c r="F42" s="78">
        <f t="shared" si="73"/>
        <v>0</v>
      </c>
      <c r="G42" s="78">
        <f t="shared" si="73"/>
        <v>0</v>
      </c>
      <c r="H42" s="78">
        <f t="shared" si="73"/>
        <v>0</v>
      </c>
      <c r="I42" s="78">
        <f t="shared" si="73"/>
        <v>0</v>
      </c>
      <c r="J42" s="78">
        <f t="shared" si="73"/>
        <v>0</v>
      </c>
      <c r="K42" s="78">
        <f t="shared" si="73"/>
        <v>0</v>
      </c>
      <c r="L42" s="78">
        <f t="shared" si="73"/>
        <v>0</v>
      </c>
      <c r="M42" s="78">
        <f t="shared" si="73"/>
        <v>0</v>
      </c>
      <c r="N42" s="78">
        <f t="shared" si="73"/>
        <v>0</v>
      </c>
      <c r="O42" s="78">
        <f t="shared" si="73"/>
        <v>0</v>
      </c>
      <c r="P42" s="78">
        <f t="shared" si="73"/>
        <v>0</v>
      </c>
      <c r="Q42" s="78">
        <f t="shared" si="73"/>
        <v>0</v>
      </c>
      <c r="R42" s="79">
        <f t="shared" si="73"/>
        <v>0</v>
      </c>
      <c r="S42" s="79">
        <f t="shared" si="5"/>
        <v>1.5714285714285714</v>
      </c>
      <c r="T42" s="80">
        <f t="shared" si="6"/>
        <v>0</v>
      </c>
      <c r="U42" s="80">
        <f t="shared" si="7"/>
        <v>1</v>
      </c>
      <c r="V42" s="80">
        <f t="shared" si="8"/>
        <v>0</v>
      </c>
      <c r="W42" s="80">
        <f t="shared" si="9"/>
        <v>0</v>
      </c>
      <c r="X42" s="80">
        <f t="shared" si="10"/>
        <v>0</v>
      </c>
      <c r="Y42" s="80">
        <f t="shared" si="11"/>
        <v>0</v>
      </c>
      <c r="Z42" s="80">
        <f t="shared" si="12"/>
        <v>0</v>
      </c>
      <c r="AA42" s="80">
        <f t="shared" si="13"/>
        <v>0</v>
      </c>
      <c r="AB42" s="80">
        <f t="shared" si="14"/>
        <v>0</v>
      </c>
      <c r="AC42" s="80">
        <f t="shared" si="15"/>
        <v>0</v>
      </c>
      <c r="AD42" s="80">
        <f t="shared" si="16"/>
        <v>0</v>
      </c>
      <c r="AE42" s="80">
        <f t="shared" si="17"/>
        <v>0</v>
      </c>
      <c r="AF42" s="80">
        <f t="shared" si="18"/>
        <v>0</v>
      </c>
      <c r="AG42" s="80">
        <f t="shared" si="19"/>
        <v>0</v>
      </c>
      <c r="AH42" s="80">
        <f t="shared" si="20"/>
        <v>0</v>
      </c>
      <c r="AI42" s="80">
        <f t="shared" si="21"/>
        <v>0</v>
      </c>
      <c r="AJ42" s="80">
        <f t="shared" si="22"/>
        <v>0</v>
      </c>
      <c r="AK42" s="80">
        <f t="shared" ref="AK42:BA42" si="74">T42+AK41</f>
        <v>12</v>
      </c>
      <c r="AL42" s="81">
        <f t="shared" si="74"/>
        <v>14</v>
      </c>
      <c r="AM42" s="81">
        <f t="shared" si="74"/>
        <v>0</v>
      </c>
      <c r="AN42" s="81">
        <f t="shared" si="74"/>
        <v>0</v>
      </c>
      <c r="AO42" s="81">
        <f t="shared" si="74"/>
        <v>0</v>
      </c>
      <c r="AP42" s="81">
        <f t="shared" si="74"/>
        <v>0</v>
      </c>
      <c r="AQ42" s="81">
        <f t="shared" si="74"/>
        <v>0</v>
      </c>
      <c r="AR42" s="81">
        <f t="shared" si="74"/>
        <v>0</v>
      </c>
      <c r="AS42" s="81">
        <f t="shared" si="74"/>
        <v>0</v>
      </c>
      <c r="AT42" s="81">
        <f t="shared" si="74"/>
        <v>0</v>
      </c>
      <c r="AU42" s="81">
        <f t="shared" si="74"/>
        <v>0</v>
      </c>
      <c r="AV42" s="81">
        <f t="shared" si="74"/>
        <v>0</v>
      </c>
      <c r="AW42" s="81">
        <f t="shared" si="74"/>
        <v>0</v>
      </c>
      <c r="AX42" s="81">
        <f t="shared" si="74"/>
        <v>0</v>
      </c>
      <c r="AY42" s="81">
        <f t="shared" si="74"/>
        <v>0</v>
      </c>
      <c r="AZ42" s="81">
        <f t="shared" si="74"/>
        <v>0</v>
      </c>
      <c r="BA42" s="82">
        <f t="shared" si="74"/>
        <v>0</v>
      </c>
      <c r="BB42" s="39" t="str">
        <f t="shared" si="24"/>
        <v>Liste 2</v>
      </c>
      <c r="BC42" s="39"/>
      <c r="BD42" s="39"/>
      <c r="BE42" s="39"/>
      <c r="BF42" s="39"/>
      <c r="BG42" s="39"/>
      <c r="BH42" s="39"/>
      <c r="BI42" s="39"/>
      <c r="BJ42" s="39"/>
      <c r="BK42" s="39"/>
      <c r="BL42" s="39"/>
      <c r="BM42" s="39"/>
    </row>
    <row r="43" spans="1:65" ht="16" x14ac:dyDescent="0.2">
      <c r="A43" s="77">
        <v>27</v>
      </c>
      <c r="B43" s="78">
        <f t="shared" ref="B43:R43" si="75">B$12/(AK42+1)</f>
        <v>1.4615384615384615</v>
      </c>
      <c r="C43" s="78">
        <f t="shared" si="75"/>
        <v>1.4666666666666666</v>
      </c>
      <c r="D43" s="78">
        <f t="shared" si="75"/>
        <v>0</v>
      </c>
      <c r="E43" s="78">
        <f t="shared" si="75"/>
        <v>0</v>
      </c>
      <c r="F43" s="78">
        <f t="shared" si="75"/>
        <v>0</v>
      </c>
      <c r="G43" s="78">
        <f t="shared" si="75"/>
        <v>0</v>
      </c>
      <c r="H43" s="78">
        <f t="shared" si="75"/>
        <v>0</v>
      </c>
      <c r="I43" s="78">
        <f t="shared" si="75"/>
        <v>0</v>
      </c>
      <c r="J43" s="78">
        <f t="shared" si="75"/>
        <v>0</v>
      </c>
      <c r="K43" s="78">
        <f t="shared" si="75"/>
        <v>0</v>
      </c>
      <c r="L43" s="78">
        <f t="shared" si="75"/>
        <v>0</v>
      </c>
      <c r="M43" s="78">
        <f t="shared" si="75"/>
        <v>0</v>
      </c>
      <c r="N43" s="78">
        <f t="shared" si="75"/>
        <v>0</v>
      </c>
      <c r="O43" s="78">
        <f t="shared" si="75"/>
        <v>0</v>
      </c>
      <c r="P43" s="78">
        <f t="shared" si="75"/>
        <v>0</v>
      </c>
      <c r="Q43" s="78">
        <f t="shared" si="75"/>
        <v>0</v>
      </c>
      <c r="R43" s="79">
        <f t="shared" si="75"/>
        <v>0</v>
      </c>
      <c r="S43" s="79">
        <f t="shared" si="5"/>
        <v>1.4666666666666666</v>
      </c>
      <c r="T43" s="80">
        <f t="shared" si="6"/>
        <v>0</v>
      </c>
      <c r="U43" s="80">
        <f t="shared" si="7"/>
        <v>1</v>
      </c>
      <c r="V43" s="80">
        <f t="shared" si="8"/>
        <v>0</v>
      </c>
      <c r="W43" s="80">
        <f t="shared" si="9"/>
        <v>0</v>
      </c>
      <c r="X43" s="80">
        <f t="shared" si="10"/>
        <v>0</v>
      </c>
      <c r="Y43" s="80">
        <f t="shared" si="11"/>
        <v>0</v>
      </c>
      <c r="Z43" s="80">
        <f t="shared" si="12"/>
        <v>0</v>
      </c>
      <c r="AA43" s="80">
        <f t="shared" si="13"/>
        <v>0</v>
      </c>
      <c r="AB43" s="80">
        <f t="shared" si="14"/>
        <v>0</v>
      </c>
      <c r="AC43" s="80">
        <f t="shared" si="15"/>
        <v>0</v>
      </c>
      <c r="AD43" s="80">
        <f t="shared" si="16"/>
        <v>0</v>
      </c>
      <c r="AE43" s="80">
        <f t="shared" si="17"/>
        <v>0</v>
      </c>
      <c r="AF43" s="80">
        <f t="shared" si="18"/>
        <v>0</v>
      </c>
      <c r="AG43" s="80">
        <f t="shared" si="19"/>
        <v>0</v>
      </c>
      <c r="AH43" s="80">
        <f t="shared" si="20"/>
        <v>0</v>
      </c>
      <c r="AI43" s="80">
        <f t="shared" si="21"/>
        <v>0</v>
      </c>
      <c r="AJ43" s="80">
        <f t="shared" si="22"/>
        <v>0</v>
      </c>
      <c r="AK43" s="80">
        <f t="shared" ref="AK43:BA43" si="76">T43+AK42</f>
        <v>12</v>
      </c>
      <c r="AL43" s="81">
        <f t="shared" si="76"/>
        <v>15</v>
      </c>
      <c r="AM43" s="81">
        <f t="shared" si="76"/>
        <v>0</v>
      </c>
      <c r="AN43" s="81">
        <f t="shared" si="76"/>
        <v>0</v>
      </c>
      <c r="AO43" s="81">
        <f t="shared" si="76"/>
        <v>0</v>
      </c>
      <c r="AP43" s="81">
        <f t="shared" si="76"/>
        <v>0</v>
      </c>
      <c r="AQ43" s="81">
        <f t="shared" si="76"/>
        <v>0</v>
      </c>
      <c r="AR43" s="81">
        <f t="shared" si="76"/>
        <v>0</v>
      </c>
      <c r="AS43" s="81">
        <f t="shared" si="76"/>
        <v>0</v>
      </c>
      <c r="AT43" s="81">
        <f t="shared" si="76"/>
        <v>0</v>
      </c>
      <c r="AU43" s="81">
        <f t="shared" si="76"/>
        <v>0</v>
      </c>
      <c r="AV43" s="81">
        <f t="shared" si="76"/>
        <v>0</v>
      </c>
      <c r="AW43" s="81">
        <f t="shared" si="76"/>
        <v>0</v>
      </c>
      <c r="AX43" s="81">
        <f t="shared" si="76"/>
        <v>0</v>
      </c>
      <c r="AY43" s="81">
        <f t="shared" si="76"/>
        <v>0</v>
      </c>
      <c r="AZ43" s="81">
        <f t="shared" si="76"/>
        <v>0</v>
      </c>
      <c r="BA43" s="82">
        <f t="shared" si="76"/>
        <v>0</v>
      </c>
      <c r="BB43" s="39" t="str">
        <f t="shared" si="24"/>
        <v>Liste 2</v>
      </c>
      <c r="BC43" s="39"/>
      <c r="BD43" s="39"/>
      <c r="BE43" s="39"/>
      <c r="BF43" s="39"/>
      <c r="BG43" s="39"/>
      <c r="BH43" s="39"/>
      <c r="BI43" s="39"/>
      <c r="BJ43" s="39"/>
      <c r="BK43" s="39"/>
      <c r="BL43" s="39"/>
      <c r="BM43" s="39"/>
    </row>
    <row r="44" spans="1:65" ht="16" x14ac:dyDescent="0.2">
      <c r="A44" s="77">
        <v>28</v>
      </c>
      <c r="B44" s="78">
        <f t="shared" ref="B44:R44" si="77">B$12/(AK43+1)</f>
        <v>1.4615384615384615</v>
      </c>
      <c r="C44" s="78">
        <f t="shared" si="77"/>
        <v>1.375</v>
      </c>
      <c r="D44" s="78">
        <f t="shared" si="77"/>
        <v>0</v>
      </c>
      <c r="E44" s="78">
        <f t="shared" si="77"/>
        <v>0</v>
      </c>
      <c r="F44" s="78">
        <f t="shared" si="77"/>
        <v>0</v>
      </c>
      <c r="G44" s="78">
        <f t="shared" si="77"/>
        <v>0</v>
      </c>
      <c r="H44" s="78">
        <f t="shared" si="77"/>
        <v>0</v>
      </c>
      <c r="I44" s="78">
        <f t="shared" si="77"/>
        <v>0</v>
      </c>
      <c r="J44" s="78">
        <f t="shared" si="77"/>
        <v>0</v>
      </c>
      <c r="K44" s="78">
        <f t="shared" si="77"/>
        <v>0</v>
      </c>
      <c r="L44" s="78">
        <f t="shared" si="77"/>
        <v>0</v>
      </c>
      <c r="M44" s="78">
        <f t="shared" si="77"/>
        <v>0</v>
      </c>
      <c r="N44" s="78">
        <f t="shared" si="77"/>
        <v>0</v>
      </c>
      <c r="O44" s="78">
        <f t="shared" si="77"/>
        <v>0</v>
      </c>
      <c r="P44" s="78">
        <f t="shared" si="77"/>
        <v>0</v>
      </c>
      <c r="Q44" s="78">
        <f t="shared" si="77"/>
        <v>0</v>
      </c>
      <c r="R44" s="79">
        <f t="shared" si="77"/>
        <v>0</v>
      </c>
      <c r="S44" s="79">
        <f t="shared" si="5"/>
        <v>1.4615384615384615</v>
      </c>
      <c r="T44" s="80">
        <f t="shared" si="6"/>
        <v>1</v>
      </c>
      <c r="U44" s="80">
        <f t="shared" si="7"/>
        <v>0</v>
      </c>
      <c r="V44" s="80">
        <f t="shared" si="8"/>
        <v>0</v>
      </c>
      <c r="W44" s="80">
        <f t="shared" si="9"/>
        <v>0</v>
      </c>
      <c r="X44" s="80">
        <f t="shared" si="10"/>
        <v>0</v>
      </c>
      <c r="Y44" s="80">
        <f t="shared" si="11"/>
        <v>0</v>
      </c>
      <c r="Z44" s="80">
        <f t="shared" si="12"/>
        <v>0</v>
      </c>
      <c r="AA44" s="80">
        <f t="shared" si="13"/>
        <v>0</v>
      </c>
      <c r="AB44" s="80">
        <f t="shared" si="14"/>
        <v>0</v>
      </c>
      <c r="AC44" s="80">
        <f t="shared" si="15"/>
        <v>0</v>
      </c>
      <c r="AD44" s="80">
        <f t="shared" si="16"/>
        <v>0</v>
      </c>
      <c r="AE44" s="80">
        <f t="shared" si="17"/>
        <v>0</v>
      </c>
      <c r="AF44" s="80">
        <f t="shared" si="18"/>
        <v>0</v>
      </c>
      <c r="AG44" s="80">
        <f t="shared" si="19"/>
        <v>0</v>
      </c>
      <c r="AH44" s="80">
        <f t="shared" si="20"/>
        <v>0</v>
      </c>
      <c r="AI44" s="80">
        <f t="shared" si="21"/>
        <v>0</v>
      </c>
      <c r="AJ44" s="80">
        <f t="shared" si="22"/>
        <v>0</v>
      </c>
      <c r="AK44" s="80">
        <f t="shared" ref="AK44:BA44" si="78">T44+AK43</f>
        <v>13</v>
      </c>
      <c r="AL44" s="81">
        <f t="shared" si="78"/>
        <v>15</v>
      </c>
      <c r="AM44" s="81">
        <f t="shared" si="78"/>
        <v>0</v>
      </c>
      <c r="AN44" s="81">
        <f t="shared" si="78"/>
        <v>0</v>
      </c>
      <c r="AO44" s="81">
        <f t="shared" si="78"/>
        <v>0</v>
      </c>
      <c r="AP44" s="81">
        <f t="shared" si="78"/>
        <v>0</v>
      </c>
      <c r="AQ44" s="81">
        <f t="shared" si="78"/>
        <v>0</v>
      </c>
      <c r="AR44" s="81">
        <f t="shared" si="78"/>
        <v>0</v>
      </c>
      <c r="AS44" s="81">
        <f t="shared" si="78"/>
        <v>0</v>
      </c>
      <c r="AT44" s="81">
        <f t="shared" si="78"/>
        <v>0</v>
      </c>
      <c r="AU44" s="81">
        <f t="shared" si="78"/>
        <v>0</v>
      </c>
      <c r="AV44" s="81">
        <f t="shared" si="78"/>
        <v>0</v>
      </c>
      <c r="AW44" s="81">
        <f t="shared" si="78"/>
        <v>0</v>
      </c>
      <c r="AX44" s="81">
        <f t="shared" si="78"/>
        <v>0</v>
      </c>
      <c r="AY44" s="81">
        <f t="shared" si="78"/>
        <v>0</v>
      </c>
      <c r="AZ44" s="81">
        <f t="shared" si="78"/>
        <v>0</v>
      </c>
      <c r="BA44" s="82">
        <f t="shared" si="78"/>
        <v>0</v>
      </c>
      <c r="BB44" s="39" t="str">
        <f t="shared" si="24"/>
        <v>Liste 1</v>
      </c>
      <c r="BC44" s="39"/>
      <c r="BD44" s="39"/>
      <c r="BE44" s="39"/>
      <c r="BF44" s="39"/>
      <c r="BG44" s="39"/>
      <c r="BH44" s="39"/>
      <c r="BI44" s="39"/>
      <c r="BJ44" s="39"/>
      <c r="BK44" s="39"/>
      <c r="BL44" s="39"/>
      <c r="BM44" s="39"/>
    </row>
    <row r="45" spans="1:65" ht="16" x14ac:dyDescent="0.2">
      <c r="A45" s="77">
        <v>29</v>
      </c>
      <c r="B45" s="78">
        <f t="shared" ref="B45:R45" si="79">B$12/(AK44+1)</f>
        <v>1.3571428571428572</v>
      </c>
      <c r="C45" s="78">
        <f t="shared" si="79"/>
        <v>1.375</v>
      </c>
      <c r="D45" s="78">
        <f t="shared" si="79"/>
        <v>0</v>
      </c>
      <c r="E45" s="78">
        <f t="shared" si="79"/>
        <v>0</v>
      </c>
      <c r="F45" s="78">
        <f t="shared" si="79"/>
        <v>0</v>
      </c>
      <c r="G45" s="78">
        <f t="shared" si="79"/>
        <v>0</v>
      </c>
      <c r="H45" s="78">
        <f t="shared" si="79"/>
        <v>0</v>
      </c>
      <c r="I45" s="78">
        <f t="shared" si="79"/>
        <v>0</v>
      </c>
      <c r="J45" s="78">
        <f t="shared" si="79"/>
        <v>0</v>
      </c>
      <c r="K45" s="78">
        <f t="shared" si="79"/>
        <v>0</v>
      </c>
      <c r="L45" s="78">
        <f t="shared" si="79"/>
        <v>0</v>
      </c>
      <c r="M45" s="78">
        <f t="shared" si="79"/>
        <v>0</v>
      </c>
      <c r="N45" s="78">
        <f t="shared" si="79"/>
        <v>0</v>
      </c>
      <c r="O45" s="78">
        <f t="shared" si="79"/>
        <v>0</v>
      </c>
      <c r="P45" s="78">
        <f t="shared" si="79"/>
        <v>0</v>
      </c>
      <c r="Q45" s="78">
        <f t="shared" si="79"/>
        <v>0</v>
      </c>
      <c r="R45" s="79">
        <f t="shared" si="79"/>
        <v>0</v>
      </c>
      <c r="S45" s="79">
        <f t="shared" si="5"/>
        <v>1.375</v>
      </c>
      <c r="T45" s="80">
        <f t="shared" si="6"/>
        <v>0</v>
      </c>
      <c r="U45" s="80">
        <f t="shared" si="7"/>
        <v>1</v>
      </c>
      <c r="V45" s="80">
        <f t="shared" si="8"/>
        <v>0</v>
      </c>
      <c r="W45" s="80">
        <f t="shared" si="9"/>
        <v>0</v>
      </c>
      <c r="X45" s="80">
        <f t="shared" si="10"/>
        <v>0</v>
      </c>
      <c r="Y45" s="80">
        <f t="shared" si="11"/>
        <v>0</v>
      </c>
      <c r="Z45" s="80">
        <f t="shared" si="12"/>
        <v>0</v>
      </c>
      <c r="AA45" s="80">
        <f t="shared" si="13"/>
        <v>0</v>
      </c>
      <c r="AB45" s="80">
        <f t="shared" si="14"/>
        <v>0</v>
      </c>
      <c r="AC45" s="80">
        <f t="shared" si="15"/>
        <v>0</v>
      </c>
      <c r="AD45" s="80">
        <f t="shared" si="16"/>
        <v>0</v>
      </c>
      <c r="AE45" s="80">
        <f t="shared" si="17"/>
        <v>0</v>
      </c>
      <c r="AF45" s="80">
        <f t="shared" si="18"/>
        <v>0</v>
      </c>
      <c r="AG45" s="80">
        <f t="shared" si="19"/>
        <v>0</v>
      </c>
      <c r="AH45" s="80">
        <f t="shared" si="20"/>
        <v>0</v>
      </c>
      <c r="AI45" s="80">
        <f t="shared" si="21"/>
        <v>0</v>
      </c>
      <c r="AJ45" s="80">
        <f t="shared" si="22"/>
        <v>0</v>
      </c>
      <c r="AK45" s="80">
        <f t="shared" ref="AK45:BA45" si="80">T45+AK44</f>
        <v>13</v>
      </c>
      <c r="AL45" s="81">
        <f t="shared" si="80"/>
        <v>16</v>
      </c>
      <c r="AM45" s="81">
        <f t="shared" si="80"/>
        <v>0</v>
      </c>
      <c r="AN45" s="81">
        <f t="shared" si="80"/>
        <v>0</v>
      </c>
      <c r="AO45" s="81">
        <f t="shared" si="80"/>
        <v>0</v>
      </c>
      <c r="AP45" s="81">
        <f t="shared" si="80"/>
        <v>0</v>
      </c>
      <c r="AQ45" s="81">
        <f t="shared" si="80"/>
        <v>0</v>
      </c>
      <c r="AR45" s="81">
        <f t="shared" si="80"/>
        <v>0</v>
      </c>
      <c r="AS45" s="81">
        <f t="shared" si="80"/>
        <v>0</v>
      </c>
      <c r="AT45" s="81">
        <f t="shared" si="80"/>
        <v>0</v>
      </c>
      <c r="AU45" s="81">
        <f t="shared" si="80"/>
        <v>0</v>
      </c>
      <c r="AV45" s="81">
        <f t="shared" si="80"/>
        <v>0</v>
      </c>
      <c r="AW45" s="81">
        <f t="shared" si="80"/>
        <v>0</v>
      </c>
      <c r="AX45" s="81">
        <f t="shared" si="80"/>
        <v>0</v>
      </c>
      <c r="AY45" s="81">
        <f t="shared" si="80"/>
        <v>0</v>
      </c>
      <c r="AZ45" s="81">
        <f t="shared" si="80"/>
        <v>0</v>
      </c>
      <c r="BA45" s="82">
        <f t="shared" si="80"/>
        <v>0</v>
      </c>
      <c r="BB45" s="39" t="str">
        <f t="shared" si="24"/>
        <v>Liste 2</v>
      </c>
      <c r="BC45" s="39"/>
      <c r="BD45" s="39"/>
      <c r="BE45" s="39"/>
      <c r="BF45" s="39"/>
      <c r="BG45" s="39"/>
      <c r="BH45" s="39"/>
      <c r="BI45" s="39"/>
      <c r="BJ45" s="39"/>
      <c r="BK45" s="39"/>
      <c r="BL45" s="39"/>
      <c r="BM45" s="39"/>
    </row>
    <row r="46" spans="1:65" ht="16" x14ac:dyDescent="0.2">
      <c r="A46" s="77">
        <v>30</v>
      </c>
      <c r="B46" s="78">
        <f t="shared" ref="B46:R46" si="81">B$12/(AK45+1)</f>
        <v>1.3571428571428572</v>
      </c>
      <c r="C46" s="78">
        <f t="shared" si="81"/>
        <v>1.2941176470588236</v>
      </c>
      <c r="D46" s="78">
        <f t="shared" si="81"/>
        <v>0</v>
      </c>
      <c r="E46" s="78">
        <f t="shared" si="81"/>
        <v>0</v>
      </c>
      <c r="F46" s="78">
        <f t="shared" si="81"/>
        <v>0</v>
      </c>
      <c r="G46" s="78">
        <f t="shared" si="81"/>
        <v>0</v>
      </c>
      <c r="H46" s="78">
        <f t="shared" si="81"/>
        <v>0</v>
      </c>
      <c r="I46" s="78">
        <f t="shared" si="81"/>
        <v>0</v>
      </c>
      <c r="J46" s="78">
        <f t="shared" si="81"/>
        <v>0</v>
      </c>
      <c r="K46" s="78">
        <f t="shared" si="81"/>
        <v>0</v>
      </c>
      <c r="L46" s="78">
        <f t="shared" si="81"/>
        <v>0</v>
      </c>
      <c r="M46" s="78">
        <f t="shared" si="81"/>
        <v>0</v>
      </c>
      <c r="N46" s="78">
        <f t="shared" si="81"/>
        <v>0</v>
      </c>
      <c r="O46" s="78">
        <f t="shared" si="81"/>
        <v>0</v>
      </c>
      <c r="P46" s="78">
        <f t="shared" si="81"/>
        <v>0</v>
      </c>
      <c r="Q46" s="78">
        <f t="shared" si="81"/>
        <v>0</v>
      </c>
      <c r="R46" s="79">
        <f t="shared" si="81"/>
        <v>0</v>
      </c>
      <c r="S46" s="79">
        <f t="shared" si="5"/>
        <v>1.3571428571428572</v>
      </c>
      <c r="T46" s="80">
        <f t="shared" si="6"/>
        <v>1</v>
      </c>
      <c r="U46" s="80">
        <f t="shared" si="7"/>
        <v>0</v>
      </c>
      <c r="V46" s="80">
        <f t="shared" si="8"/>
        <v>0</v>
      </c>
      <c r="W46" s="80">
        <f t="shared" si="9"/>
        <v>0</v>
      </c>
      <c r="X46" s="80">
        <f t="shared" si="10"/>
        <v>0</v>
      </c>
      <c r="Y46" s="80">
        <f t="shared" si="11"/>
        <v>0</v>
      </c>
      <c r="Z46" s="80">
        <f t="shared" si="12"/>
        <v>0</v>
      </c>
      <c r="AA46" s="80">
        <f t="shared" si="13"/>
        <v>0</v>
      </c>
      <c r="AB46" s="80">
        <f t="shared" si="14"/>
        <v>0</v>
      </c>
      <c r="AC46" s="80">
        <f t="shared" si="15"/>
        <v>0</v>
      </c>
      <c r="AD46" s="80">
        <f t="shared" si="16"/>
        <v>0</v>
      </c>
      <c r="AE46" s="80">
        <f t="shared" si="17"/>
        <v>0</v>
      </c>
      <c r="AF46" s="80">
        <f t="shared" si="18"/>
        <v>0</v>
      </c>
      <c r="AG46" s="80">
        <f t="shared" si="19"/>
        <v>0</v>
      </c>
      <c r="AH46" s="80">
        <f t="shared" si="20"/>
        <v>0</v>
      </c>
      <c r="AI46" s="80">
        <f t="shared" si="21"/>
        <v>0</v>
      </c>
      <c r="AJ46" s="80">
        <f t="shared" si="22"/>
        <v>0</v>
      </c>
      <c r="AK46" s="80">
        <f t="shared" ref="AK46:BA46" si="82">T46+AK45</f>
        <v>14</v>
      </c>
      <c r="AL46" s="81">
        <f t="shared" si="82"/>
        <v>16</v>
      </c>
      <c r="AM46" s="81">
        <f t="shared" si="82"/>
        <v>0</v>
      </c>
      <c r="AN46" s="81">
        <f t="shared" si="82"/>
        <v>0</v>
      </c>
      <c r="AO46" s="81">
        <f t="shared" si="82"/>
        <v>0</v>
      </c>
      <c r="AP46" s="81">
        <f t="shared" si="82"/>
        <v>0</v>
      </c>
      <c r="AQ46" s="81">
        <f t="shared" si="82"/>
        <v>0</v>
      </c>
      <c r="AR46" s="81">
        <f t="shared" si="82"/>
        <v>0</v>
      </c>
      <c r="AS46" s="81">
        <f t="shared" si="82"/>
        <v>0</v>
      </c>
      <c r="AT46" s="81">
        <f t="shared" si="82"/>
        <v>0</v>
      </c>
      <c r="AU46" s="81">
        <f t="shared" si="82"/>
        <v>0</v>
      </c>
      <c r="AV46" s="81">
        <f t="shared" si="82"/>
        <v>0</v>
      </c>
      <c r="AW46" s="81">
        <f t="shared" si="82"/>
        <v>0</v>
      </c>
      <c r="AX46" s="81">
        <f t="shared" si="82"/>
        <v>0</v>
      </c>
      <c r="AY46" s="81">
        <f t="shared" si="82"/>
        <v>0</v>
      </c>
      <c r="AZ46" s="81">
        <f t="shared" si="82"/>
        <v>0</v>
      </c>
      <c r="BA46" s="82">
        <f t="shared" si="82"/>
        <v>0</v>
      </c>
      <c r="BB46" s="39" t="str">
        <f t="shared" si="24"/>
        <v>Liste 1</v>
      </c>
      <c r="BC46" s="39"/>
      <c r="BD46" s="39"/>
      <c r="BE46" s="39"/>
      <c r="BF46" s="39"/>
      <c r="BG46" s="39"/>
      <c r="BH46" s="39"/>
      <c r="BI46" s="39"/>
      <c r="BJ46" s="39"/>
      <c r="BK46" s="39"/>
      <c r="BL46" s="39"/>
      <c r="BM46" s="39"/>
    </row>
    <row r="47" spans="1:65" ht="16" x14ac:dyDescent="0.2">
      <c r="A47" s="77">
        <v>31</v>
      </c>
      <c r="B47" s="78">
        <f t="shared" ref="B47:R47" si="83">B$12/(AK46+1)</f>
        <v>1.2666666666666666</v>
      </c>
      <c r="C47" s="78">
        <f t="shared" si="83"/>
        <v>1.2941176470588236</v>
      </c>
      <c r="D47" s="78">
        <f t="shared" si="83"/>
        <v>0</v>
      </c>
      <c r="E47" s="78">
        <f t="shared" si="83"/>
        <v>0</v>
      </c>
      <c r="F47" s="78">
        <f t="shared" si="83"/>
        <v>0</v>
      </c>
      <c r="G47" s="78">
        <f t="shared" si="83"/>
        <v>0</v>
      </c>
      <c r="H47" s="78">
        <f t="shared" si="83"/>
        <v>0</v>
      </c>
      <c r="I47" s="78">
        <f t="shared" si="83"/>
        <v>0</v>
      </c>
      <c r="J47" s="78">
        <f t="shared" si="83"/>
        <v>0</v>
      </c>
      <c r="K47" s="78">
        <f t="shared" si="83"/>
        <v>0</v>
      </c>
      <c r="L47" s="78">
        <f t="shared" si="83"/>
        <v>0</v>
      </c>
      <c r="M47" s="78">
        <f t="shared" si="83"/>
        <v>0</v>
      </c>
      <c r="N47" s="78">
        <f t="shared" si="83"/>
        <v>0</v>
      </c>
      <c r="O47" s="78">
        <f t="shared" si="83"/>
        <v>0</v>
      </c>
      <c r="P47" s="78">
        <f t="shared" si="83"/>
        <v>0</v>
      </c>
      <c r="Q47" s="78">
        <f t="shared" si="83"/>
        <v>0</v>
      </c>
      <c r="R47" s="79">
        <f t="shared" si="83"/>
        <v>0</v>
      </c>
      <c r="S47" s="79">
        <f t="shared" si="5"/>
        <v>1.2941176470588236</v>
      </c>
      <c r="T47" s="80">
        <f t="shared" si="6"/>
        <v>0</v>
      </c>
      <c r="U47" s="80">
        <f t="shared" si="7"/>
        <v>1</v>
      </c>
      <c r="V47" s="80">
        <f t="shared" si="8"/>
        <v>0</v>
      </c>
      <c r="W47" s="80">
        <f t="shared" si="9"/>
        <v>0</v>
      </c>
      <c r="X47" s="80">
        <f t="shared" si="10"/>
        <v>0</v>
      </c>
      <c r="Y47" s="80">
        <f t="shared" si="11"/>
        <v>0</v>
      </c>
      <c r="Z47" s="80">
        <f t="shared" si="12"/>
        <v>0</v>
      </c>
      <c r="AA47" s="80">
        <f t="shared" si="13"/>
        <v>0</v>
      </c>
      <c r="AB47" s="80">
        <f t="shared" si="14"/>
        <v>0</v>
      </c>
      <c r="AC47" s="80">
        <f t="shared" si="15"/>
        <v>0</v>
      </c>
      <c r="AD47" s="80">
        <f t="shared" si="16"/>
        <v>0</v>
      </c>
      <c r="AE47" s="80">
        <f t="shared" si="17"/>
        <v>0</v>
      </c>
      <c r="AF47" s="80">
        <f t="shared" si="18"/>
        <v>0</v>
      </c>
      <c r="AG47" s="80">
        <f t="shared" si="19"/>
        <v>0</v>
      </c>
      <c r="AH47" s="80">
        <f t="shared" si="20"/>
        <v>0</v>
      </c>
      <c r="AI47" s="80">
        <f t="shared" si="21"/>
        <v>0</v>
      </c>
      <c r="AJ47" s="80">
        <f t="shared" si="22"/>
        <v>0</v>
      </c>
      <c r="AK47" s="80">
        <f t="shared" ref="AK47:BA47" si="84">T47+AK46</f>
        <v>14</v>
      </c>
      <c r="AL47" s="81">
        <f t="shared" si="84"/>
        <v>17</v>
      </c>
      <c r="AM47" s="81">
        <f t="shared" si="84"/>
        <v>0</v>
      </c>
      <c r="AN47" s="81">
        <f t="shared" si="84"/>
        <v>0</v>
      </c>
      <c r="AO47" s="81">
        <f t="shared" si="84"/>
        <v>0</v>
      </c>
      <c r="AP47" s="81">
        <f t="shared" si="84"/>
        <v>0</v>
      </c>
      <c r="AQ47" s="81">
        <f t="shared" si="84"/>
        <v>0</v>
      </c>
      <c r="AR47" s="81">
        <f t="shared" si="84"/>
        <v>0</v>
      </c>
      <c r="AS47" s="81">
        <f t="shared" si="84"/>
        <v>0</v>
      </c>
      <c r="AT47" s="81">
        <f t="shared" si="84"/>
        <v>0</v>
      </c>
      <c r="AU47" s="81">
        <f t="shared" si="84"/>
        <v>0</v>
      </c>
      <c r="AV47" s="81">
        <f t="shared" si="84"/>
        <v>0</v>
      </c>
      <c r="AW47" s="81">
        <f t="shared" si="84"/>
        <v>0</v>
      </c>
      <c r="AX47" s="81">
        <f t="shared" si="84"/>
        <v>0</v>
      </c>
      <c r="AY47" s="81">
        <f t="shared" si="84"/>
        <v>0</v>
      </c>
      <c r="AZ47" s="81">
        <f t="shared" si="84"/>
        <v>0</v>
      </c>
      <c r="BA47" s="82">
        <f t="shared" si="84"/>
        <v>0</v>
      </c>
      <c r="BB47" s="39" t="str">
        <f t="shared" si="24"/>
        <v>Liste 2</v>
      </c>
      <c r="BC47" s="39"/>
      <c r="BD47" s="39"/>
      <c r="BE47" s="39"/>
      <c r="BF47" s="39"/>
      <c r="BG47" s="39"/>
      <c r="BH47" s="39"/>
      <c r="BI47" s="39"/>
      <c r="BJ47" s="39"/>
      <c r="BK47" s="39"/>
      <c r="BL47" s="39"/>
      <c r="BM47" s="39"/>
    </row>
    <row r="48" spans="1:65" ht="16" x14ac:dyDescent="0.2">
      <c r="A48" s="77">
        <v>32</v>
      </c>
      <c r="B48" s="78">
        <f t="shared" ref="B48:R48" si="85">B$12/(AK47+1)</f>
        <v>1.2666666666666666</v>
      </c>
      <c r="C48" s="78">
        <f t="shared" si="85"/>
        <v>1.2222222222222223</v>
      </c>
      <c r="D48" s="78">
        <f t="shared" si="85"/>
        <v>0</v>
      </c>
      <c r="E48" s="78">
        <f t="shared" si="85"/>
        <v>0</v>
      </c>
      <c r="F48" s="78">
        <f t="shared" si="85"/>
        <v>0</v>
      </c>
      <c r="G48" s="78">
        <f t="shared" si="85"/>
        <v>0</v>
      </c>
      <c r="H48" s="78">
        <f t="shared" si="85"/>
        <v>0</v>
      </c>
      <c r="I48" s="78">
        <f t="shared" si="85"/>
        <v>0</v>
      </c>
      <c r="J48" s="78">
        <f t="shared" si="85"/>
        <v>0</v>
      </c>
      <c r="K48" s="78">
        <f t="shared" si="85"/>
        <v>0</v>
      </c>
      <c r="L48" s="78">
        <f t="shared" si="85"/>
        <v>0</v>
      </c>
      <c r="M48" s="78">
        <f t="shared" si="85"/>
        <v>0</v>
      </c>
      <c r="N48" s="78">
        <f t="shared" si="85"/>
        <v>0</v>
      </c>
      <c r="O48" s="78">
        <f t="shared" si="85"/>
        <v>0</v>
      </c>
      <c r="P48" s="78">
        <f t="shared" si="85"/>
        <v>0</v>
      </c>
      <c r="Q48" s="78">
        <f t="shared" si="85"/>
        <v>0</v>
      </c>
      <c r="R48" s="79">
        <f t="shared" si="85"/>
        <v>0</v>
      </c>
      <c r="S48" s="79">
        <f t="shared" si="5"/>
        <v>1.2666666666666666</v>
      </c>
      <c r="T48" s="80">
        <f t="shared" si="6"/>
        <v>1</v>
      </c>
      <c r="U48" s="80">
        <f t="shared" si="7"/>
        <v>0</v>
      </c>
      <c r="V48" s="80">
        <f t="shared" si="8"/>
        <v>0</v>
      </c>
      <c r="W48" s="80">
        <f t="shared" si="9"/>
        <v>0</v>
      </c>
      <c r="X48" s="80">
        <f t="shared" si="10"/>
        <v>0</v>
      </c>
      <c r="Y48" s="80">
        <f t="shared" si="11"/>
        <v>0</v>
      </c>
      <c r="Z48" s="80">
        <f t="shared" si="12"/>
        <v>0</v>
      </c>
      <c r="AA48" s="80">
        <f t="shared" si="13"/>
        <v>0</v>
      </c>
      <c r="AB48" s="80">
        <f t="shared" si="14"/>
        <v>0</v>
      </c>
      <c r="AC48" s="80">
        <f t="shared" si="15"/>
        <v>0</v>
      </c>
      <c r="AD48" s="80">
        <f t="shared" si="16"/>
        <v>0</v>
      </c>
      <c r="AE48" s="80">
        <f t="shared" si="17"/>
        <v>0</v>
      </c>
      <c r="AF48" s="80">
        <f t="shared" si="18"/>
        <v>0</v>
      </c>
      <c r="AG48" s="80">
        <f t="shared" si="19"/>
        <v>0</v>
      </c>
      <c r="AH48" s="80">
        <f t="shared" si="20"/>
        <v>0</v>
      </c>
      <c r="AI48" s="80">
        <f t="shared" si="21"/>
        <v>0</v>
      </c>
      <c r="AJ48" s="80">
        <f t="shared" si="22"/>
        <v>0</v>
      </c>
      <c r="AK48" s="80">
        <f t="shared" ref="AK48:BA48" si="86">T48+AK47</f>
        <v>15</v>
      </c>
      <c r="AL48" s="81">
        <f t="shared" si="86"/>
        <v>17</v>
      </c>
      <c r="AM48" s="81">
        <f t="shared" si="86"/>
        <v>0</v>
      </c>
      <c r="AN48" s="81">
        <f t="shared" si="86"/>
        <v>0</v>
      </c>
      <c r="AO48" s="81">
        <f t="shared" si="86"/>
        <v>0</v>
      </c>
      <c r="AP48" s="81">
        <f t="shared" si="86"/>
        <v>0</v>
      </c>
      <c r="AQ48" s="81">
        <f t="shared" si="86"/>
        <v>0</v>
      </c>
      <c r="AR48" s="81">
        <f t="shared" si="86"/>
        <v>0</v>
      </c>
      <c r="AS48" s="81">
        <f t="shared" si="86"/>
        <v>0</v>
      </c>
      <c r="AT48" s="81">
        <f t="shared" si="86"/>
        <v>0</v>
      </c>
      <c r="AU48" s="81">
        <f t="shared" si="86"/>
        <v>0</v>
      </c>
      <c r="AV48" s="81">
        <f t="shared" si="86"/>
        <v>0</v>
      </c>
      <c r="AW48" s="81">
        <f t="shared" si="86"/>
        <v>0</v>
      </c>
      <c r="AX48" s="81">
        <f t="shared" si="86"/>
        <v>0</v>
      </c>
      <c r="AY48" s="81">
        <f t="shared" si="86"/>
        <v>0</v>
      </c>
      <c r="AZ48" s="81">
        <f t="shared" si="86"/>
        <v>0</v>
      </c>
      <c r="BA48" s="82">
        <f t="shared" si="86"/>
        <v>0</v>
      </c>
      <c r="BB48" s="39" t="str">
        <f t="shared" si="24"/>
        <v>Liste 1</v>
      </c>
      <c r="BC48" s="39"/>
      <c r="BD48" s="39"/>
      <c r="BE48" s="39"/>
      <c r="BF48" s="39"/>
      <c r="BG48" s="39"/>
      <c r="BH48" s="39"/>
      <c r="BI48" s="39"/>
      <c r="BJ48" s="39"/>
      <c r="BK48" s="39"/>
      <c r="BL48" s="39"/>
      <c r="BM48" s="39"/>
    </row>
    <row r="49" spans="1:65" ht="16" x14ac:dyDescent="0.2">
      <c r="A49" s="77">
        <v>33</v>
      </c>
      <c r="B49" s="78">
        <f t="shared" ref="B49:R49" si="87">B$12/(AK48+1)</f>
        <v>1.1875</v>
      </c>
      <c r="C49" s="78">
        <f t="shared" si="87"/>
        <v>1.2222222222222223</v>
      </c>
      <c r="D49" s="78">
        <f t="shared" si="87"/>
        <v>0</v>
      </c>
      <c r="E49" s="78">
        <f t="shared" si="87"/>
        <v>0</v>
      </c>
      <c r="F49" s="78">
        <f t="shared" si="87"/>
        <v>0</v>
      </c>
      <c r="G49" s="78">
        <f t="shared" si="87"/>
        <v>0</v>
      </c>
      <c r="H49" s="78">
        <f t="shared" si="87"/>
        <v>0</v>
      </c>
      <c r="I49" s="78">
        <f t="shared" si="87"/>
        <v>0</v>
      </c>
      <c r="J49" s="78">
        <f t="shared" si="87"/>
        <v>0</v>
      </c>
      <c r="K49" s="78">
        <f t="shared" si="87"/>
        <v>0</v>
      </c>
      <c r="L49" s="78">
        <f t="shared" si="87"/>
        <v>0</v>
      </c>
      <c r="M49" s="78">
        <f t="shared" si="87"/>
        <v>0</v>
      </c>
      <c r="N49" s="78">
        <f t="shared" si="87"/>
        <v>0</v>
      </c>
      <c r="O49" s="78">
        <f t="shared" si="87"/>
        <v>0</v>
      </c>
      <c r="P49" s="78">
        <f t="shared" si="87"/>
        <v>0</v>
      </c>
      <c r="Q49" s="78">
        <f t="shared" si="87"/>
        <v>0</v>
      </c>
      <c r="R49" s="79">
        <f t="shared" si="87"/>
        <v>0</v>
      </c>
      <c r="S49" s="79">
        <f t="shared" si="5"/>
        <v>1.2222222222222223</v>
      </c>
      <c r="T49" s="80">
        <f t="shared" si="6"/>
        <v>0</v>
      </c>
      <c r="U49" s="80">
        <f t="shared" si="7"/>
        <v>1</v>
      </c>
      <c r="V49" s="80">
        <f t="shared" si="8"/>
        <v>0</v>
      </c>
      <c r="W49" s="80">
        <f t="shared" si="9"/>
        <v>0</v>
      </c>
      <c r="X49" s="80">
        <f t="shared" si="10"/>
        <v>0</v>
      </c>
      <c r="Y49" s="80">
        <f t="shared" si="11"/>
        <v>0</v>
      </c>
      <c r="Z49" s="80">
        <f t="shared" si="12"/>
        <v>0</v>
      </c>
      <c r="AA49" s="80">
        <f t="shared" si="13"/>
        <v>0</v>
      </c>
      <c r="AB49" s="80">
        <f t="shared" si="14"/>
        <v>0</v>
      </c>
      <c r="AC49" s="80">
        <f t="shared" si="15"/>
        <v>0</v>
      </c>
      <c r="AD49" s="80">
        <f t="shared" si="16"/>
        <v>0</v>
      </c>
      <c r="AE49" s="80">
        <f t="shared" si="17"/>
        <v>0</v>
      </c>
      <c r="AF49" s="80">
        <f t="shared" si="18"/>
        <v>0</v>
      </c>
      <c r="AG49" s="80">
        <f t="shared" si="19"/>
        <v>0</v>
      </c>
      <c r="AH49" s="80">
        <f t="shared" si="20"/>
        <v>0</v>
      </c>
      <c r="AI49" s="80">
        <f t="shared" si="21"/>
        <v>0</v>
      </c>
      <c r="AJ49" s="80">
        <f t="shared" si="22"/>
        <v>0</v>
      </c>
      <c r="AK49" s="80">
        <f t="shared" ref="AK49:BA49" si="88">T49+AK48</f>
        <v>15</v>
      </c>
      <c r="AL49" s="81">
        <f t="shared" si="88"/>
        <v>18</v>
      </c>
      <c r="AM49" s="81">
        <f t="shared" si="88"/>
        <v>0</v>
      </c>
      <c r="AN49" s="81">
        <f t="shared" si="88"/>
        <v>0</v>
      </c>
      <c r="AO49" s="81">
        <f t="shared" si="88"/>
        <v>0</v>
      </c>
      <c r="AP49" s="81">
        <f t="shared" si="88"/>
        <v>0</v>
      </c>
      <c r="AQ49" s="81">
        <f t="shared" si="88"/>
        <v>0</v>
      </c>
      <c r="AR49" s="81">
        <f t="shared" si="88"/>
        <v>0</v>
      </c>
      <c r="AS49" s="81">
        <f t="shared" si="88"/>
        <v>0</v>
      </c>
      <c r="AT49" s="81">
        <f t="shared" si="88"/>
        <v>0</v>
      </c>
      <c r="AU49" s="81">
        <f t="shared" si="88"/>
        <v>0</v>
      </c>
      <c r="AV49" s="81">
        <f t="shared" si="88"/>
        <v>0</v>
      </c>
      <c r="AW49" s="81">
        <f t="shared" si="88"/>
        <v>0</v>
      </c>
      <c r="AX49" s="81">
        <f t="shared" si="88"/>
        <v>0</v>
      </c>
      <c r="AY49" s="81">
        <f t="shared" si="88"/>
        <v>0</v>
      </c>
      <c r="AZ49" s="81">
        <f t="shared" si="88"/>
        <v>0</v>
      </c>
      <c r="BA49" s="82">
        <f t="shared" si="88"/>
        <v>0</v>
      </c>
      <c r="BB49" s="39" t="str">
        <f t="shared" si="24"/>
        <v>Liste 2</v>
      </c>
      <c r="BC49" s="39"/>
      <c r="BD49" s="39"/>
      <c r="BE49" s="39"/>
      <c r="BF49" s="39"/>
      <c r="BG49" s="39"/>
      <c r="BH49" s="39"/>
      <c r="BI49" s="39"/>
      <c r="BJ49" s="39"/>
      <c r="BK49" s="39"/>
      <c r="BL49" s="39"/>
      <c r="BM49" s="39"/>
    </row>
    <row r="50" spans="1:65" ht="16" x14ac:dyDescent="0.2">
      <c r="A50" s="77">
        <v>34</v>
      </c>
      <c r="B50" s="78">
        <f t="shared" ref="B50:R50" si="89">B$12/(AK49+1)</f>
        <v>1.1875</v>
      </c>
      <c r="C50" s="78">
        <f t="shared" si="89"/>
        <v>1.1578947368421053</v>
      </c>
      <c r="D50" s="78">
        <f t="shared" si="89"/>
        <v>0</v>
      </c>
      <c r="E50" s="78">
        <f t="shared" si="89"/>
        <v>0</v>
      </c>
      <c r="F50" s="78">
        <f t="shared" si="89"/>
        <v>0</v>
      </c>
      <c r="G50" s="78">
        <f t="shared" si="89"/>
        <v>0</v>
      </c>
      <c r="H50" s="78">
        <f t="shared" si="89"/>
        <v>0</v>
      </c>
      <c r="I50" s="78">
        <f t="shared" si="89"/>
        <v>0</v>
      </c>
      <c r="J50" s="78">
        <f t="shared" si="89"/>
        <v>0</v>
      </c>
      <c r="K50" s="78">
        <f t="shared" si="89"/>
        <v>0</v>
      </c>
      <c r="L50" s="78">
        <f t="shared" si="89"/>
        <v>0</v>
      </c>
      <c r="M50" s="78">
        <f t="shared" si="89"/>
        <v>0</v>
      </c>
      <c r="N50" s="78">
        <f t="shared" si="89"/>
        <v>0</v>
      </c>
      <c r="O50" s="78">
        <f t="shared" si="89"/>
        <v>0</v>
      </c>
      <c r="P50" s="78">
        <f t="shared" si="89"/>
        <v>0</v>
      </c>
      <c r="Q50" s="78">
        <f t="shared" si="89"/>
        <v>0</v>
      </c>
      <c r="R50" s="79">
        <f t="shared" si="89"/>
        <v>0</v>
      </c>
      <c r="S50" s="79">
        <f t="shared" si="5"/>
        <v>1.1875</v>
      </c>
      <c r="T50" s="80">
        <f t="shared" si="6"/>
        <v>1</v>
      </c>
      <c r="U50" s="80">
        <f t="shared" si="7"/>
        <v>0</v>
      </c>
      <c r="V50" s="80">
        <f t="shared" si="8"/>
        <v>0</v>
      </c>
      <c r="W50" s="80">
        <f t="shared" si="9"/>
        <v>0</v>
      </c>
      <c r="X50" s="80">
        <f t="shared" si="10"/>
        <v>0</v>
      </c>
      <c r="Y50" s="80">
        <f t="shared" si="11"/>
        <v>0</v>
      </c>
      <c r="Z50" s="80">
        <f t="shared" si="12"/>
        <v>0</v>
      </c>
      <c r="AA50" s="80">
        <f t="shared" si="13"/>
        <v>0</v>
      </c>
      <c r="AB50" s="80">
        <f t="shared" si="14"/>
        <v>0</v>
      </c>
      <c r="AC50" s="80">
        <f t="shared" si="15"/>
        <v>0</v>
      </c>
      <c r="AD50" s="80">
        <f t="shared" si="16"/>
        <v>0</v>
      </c>
      <c r="AE50" s="80">
        <f t="shared" si="17"/>
        <v>0</v>
      </c>
      <c r="AF50" s="80">
        <f t="shared" si="18"/>
        <v>0</v>
      </c>
      <c r="AG50" s="80">
        <f t="shared" si="19"/>
        <v>0</v>
      </c>
      <c r="AH50" s="80">
        <f t="shared" si="20"/>
        <v>0</v>
      </c>
      <c r="AI50" s="80">
        <f t="shared" si="21"/>
        <v>0</v>
      </c>
      <c r="AJ50" s="80">
        <f t="shared" si="22"/>
        <v>0</v>
      </c>
      <c r="AK50" s="80">
        <f t="shared" ref="AK50:BA50" si="90">T50+AK49</f>
        <v>16</v>
      </c>
      <c r="AL50" s="81">
        <f t="shared" si="90"/>
        <v>18</v>
      </c>
      <c r="AM50" s="81">
        <f t="shared" si="90"/>
        <v>0</v>
      </c>
      <c r="AN50" s="81">
        <f t="shared" si="90"/>
        <v>0</v>
      </c>
      <c r="AO50" s="81">
        <f t="shared" si="90"/>
        <v>0</v>
      </c>
      <c r="AP50" s="81">
        <f t="shared" si="90"/>
        <v>0</v>
      </c>
      <c r="AQ50" s="81">
        <f t="shared" si="90"/>
        <v>0</v>
      </c>
      <c r="AR50" s="81">
        <f t="shared" si="90"/>
        <v>0</v>
      </c>
      <c r="AS50" s="81">
        <f t="shared" si="90"/>
        <v>0</v>
      </c>
      <c r="AT50" s="81">
        <f t="shared" si="90"/>
        <v>0</v>
      </c>
      <c r="AU50" s="81">
        <f t="shared" si="90"/>
        <v>0</v>
      </c>
      <c r="AV50" s="81">
        <f t="shared" si="90"/>
        <v>0</v>
      </c>
      <c r="AW50" s="81">
        <f t="shared" si="90"/>
        <v>0</v>
      </c>
      <c r="AX50" s="81">
        <f t="shared" si="90"/>
        <v>0</v>
      </c>
      <c r="AY50" s="81">
        <f t="shared" si="90"/>
        <v>0</v>
      </c>
      <c r="AZ50" s="81">
        <f t="shared" si="90"/>
        <v>0</v>
      </c>
      <c r="BA50" s="82">
        <f t="shared" si="90"/>
        <v>0</v>
      </c>
      <c r="BB50" s="39" t="str">
        <f t="shared" si="24"/>
        <v>Liste 1</v>
      </c>
      <c r="BC50" s="39"/>
      <c r="BD50" s="39"/>
      <c r="BE50" s="39"/>
      <c r="BF50" s="39"/>
      <c r="BG50" s="39"/>
      <c r="BH50" s="39"/>
      <c r="BI50" s="39"/>
      <c r="BJ50" s="39"/>
      <c r="BK50" s="39"/>
      <c r="BL50" s="39"/>
      <c r="BM50" s="39"/>
    </row>
    <row r="51" spans="1:65" ht="16" x14ac:dyDescent="0.2">
      <c r="A51" s="77">
        <v>35</v>
      </c>
      <c r="B51" s="78">
        <f t="shared" ref="B51:R51" si="91">B$12/(AK50+1)</f>
        <v>1.1176470588235294</v>
      </c>
      <c r="C51" s="78">
        <f t="shared" si="91"/>
        <v>1.1578947368421053</v>
      </c>
      <c r="D51" s="78">
        <f t="shared" si="91"/>
        <v>0</v>
      </c>
      <c r="E51" s="78">
        <f t="shared" si="91"/>
        <v>0</v>
      </c>
      <c r="F51" s="78">
        <f t="shared" si="91"/>
        <v>0</v>
      </c>
      <c r="G51" s="78">
        <f t="shared" si="91"/>
        <v>0</v>
      </c>
      <c r="H51" s="78">
        <f t="shared" si="91"/>
        <v>0</v>
      </c>
      <c r="I51" s="78">
        <f t="shared" si="91"/>
        <v>0</v>
      </c>
      <c r="J51" s="78">
        <f t="shared" si="91"/>
        <v>0</v>
      </c>
      <c r="K51" s="78">
        <f t="shared" si="91"/>
        <v>0</v>
      </c>
      <c r="L51" s="78">
        <f t="shared" si="91"/>
        <v>0</v>
      </c>
      <c r="M51" s="78">
        <f t="shared" si="91"/>
        <v>0</v>
      </c>
      <c r="N51" s="78">
        <f t="shared" si="91"/>
        <v>0</v>
      </c>
      <c r="O51" s="78">
        <f t="shared" si="91"/>
        <v>0</v>
      </c>
      <c r="P51" s="78">
        <f t="shared" si="91"/>
        <v>0</v>
      </c>
      <c r="Q51" s="78">
        <f t="shared" si="91"/>
        <v>0</v>
      </c>
      <c r="R51" s="79">
        <f t="shared" si="91"/>
        <v>0</v>
      </c>
      <c r="S51" s="79">
        <f t="shared" si="5"/>
        <v>1.1578947368421053</v>
      </c>
      <c r="T51" s="80">
        <f t="shared" si="6"/>
        <v>0</v>
      </c>
      <c r="U51" s="80">
        <f t="shared" si="7"/>
        <v>1</v>
      </c>
      <c r="V51" s="80">
        <f t="shared" si="8"/>
        <v>0</v>
      </c>
      <c r="W51" s="80">
        <f t="shared" si="9"/>
        <v>0</v>
      </c>
      <c r="X51" s="80">
        <f t="shared" si="10"/>
        <v>0</v>
      </c>
      <c r="Y51" s="80">
        <f t="shared" si="11"/>
        <v>0</v>
      </c>
      <c r="Z51" s="80">
        <f t="shared" si="12"/>
        <v>0</v>
      </c>
      <c r="AA51" s="80">
        <f t="shared" si="13"/>
        <v>0</v>
      </c>
      <c r="AB51" s="80">
        <f t="shared" si="14"/>
        <v>0</v>
      </c>
      <c r="AC51" s="80">
        <f t="shared" si="15"/>
        <v>0</v>
      </c>
      <c r="AD51" s="80">
        <f t="shared" si="16"/>
        <v>0</v>
      </c>
      <c r="AE51" s="80">
        <f t="shared" si="17"/>
        <v>0</v>
      </c>
      <c r="AF51" s="80">
        <f t="shared" si="18"/>
        <v>0</v>
      </c>
      <c r="AG51" s="80">
        <f t="shared" si="19"/>
        <v>0</v>
      </c>
      <c r="AH51" s="80">
        <f t="shared" si="20"/>
        <v>0</v>
      </c>
      <c r="AI51" s="80">
        <f t="shared" si="21"/>
        <v>0</v>
      </c>
      <c r="AJ51" s="80">
        <f t="shared" si="22"/>
        <v>0</v>
      </c>
      <c r="AK51" s="80">
        <f t="shared" ref="AK51:BA51" si="92">T51+AK50</f>
        <v>16</v>
      </c>
      <c r="AL51" s="81">
        <f t="shared" si="92"/>
        <v>19</v>
      </c>
      <c r="AM51" s="81">
        <f t="shared" si="92"/>
        <v>0</v>
      </c>
      <c r="AN51" s="81">
        <f t="shared" si="92"/>
        <v>0</v>
      </c>
      <c r="AO51" s="81">
        <f t="shared" si="92"/>
        <v>0</v>
      </c>
      <c r="AP51" s="81">
        <f t="shared" si="92"/>
        <v>0</v>
      </c>
      <c r="AQ51" s="81">
        <f t="shared" si="92"/>
        <v>0</v>
      </c>
      <c r="AR51" s="81">
        <f t="shared" si="92"/>
        <v>0</v>
      </c>
      <c r="AS51" s="81">
        <f t="shared" si="92"/>
        <v>0</v>
      </c>
      <c r="AT51" s="81">
        <f t="shared" si="92"/>
        <v>0</v>
      </c>
      <c r="AU51" s="81">
        <f t="shared" si="92"/>
        <v>0</v>
      </c>
      <c r="AV51" s="81">
        <f t="shared" si="92"/>
        <v>0</v>
      </c>
      <c r="AW51" s="81">
        <f t="shared" si="92"/>
        <v>0</v>
      </c>
      <c r="AX51" s="81">
        <f t="shared" si="92"/>
        <v>0</v>
      </c>
      <c r="AY51" s="81">
        <f t="shared" si="92"/>
        <v>0</v>
      </c>
      <c r="AZ51" s="81">
        <f t="shared" si="92"/>
        <v>0</v>
      </c>
      <c r="BA51" s="82">
        <f t="shared" si="92"/>
        <v>0</v>
      </c>
      <c r="BB51" s="39" t="str">
        <f t="shared" si="24"/>
        <v>Liste 2</v>
      </c>
      <c r="BC51" s="39"/>
      <c r="BD51" s="39"/>
      <c r="BE51" s="39"/>
      <c r="BF51" s="39"/>
      <c r="BG51" s="39"/>
      <c r="BH51" s="39"/>
      <c r="BI51" s="39"/>
      <c r="BJ51" s="39"/>
      <c r="BK51" s="39"/>
      <c r="BL51" s="39"/>
      <c r="BM51" s="39"/>
    </row>
    <row r="52" spans="1:65" ht="16" x14ac:dyDescent="0.2">
      <c r="A52" s="77">
        <v>36</v>
      </c>
      <c r="B52" s="78">
        <f t="shared" ref="B52:R52" si="93">B$12/(AK51+1)</f>
        <v>1.1176470588235294</v>
      </c>
      <c r="C52" s="78">
        <f t="shared" si="93"/>
        <v>1.1000000000000001</v>
      </c>
      <c r="D52" s="78">
        <f t="shared" si="93"/>
        <v>0</v>
      </c>
      <c r="E52" s="78">
        <f t="shared" si="93"/>
        <v>0</v>
      </c>
      <c r="F52" s="78">
        <f t="shared" si="93"/>
        <v>0</v>
      </c>
      <c r="G52" s="78">
        <f t="shared" si="93"/>
        <v>0</v>
      </c>
      <c r="H52" s="78">
        <f t="shared" si="93"/>
        <v>0</v>
      </c>
      <c r="I52" s="78">
        <f t="shared" si="93"/>
        <v>0</v>
      </c>
      <c r="J52" s="78">
        <f t="shared" si="93"/>
        <v>0</v>
      </c>
      <c r="K52" s="78">
        <f t="shared" si="93"/>
        <v>0</v>
      </c>
      <c r="L52" s="78">
        <f t="shared" si="93"/>
        <v>0</v>
      </c>
      <c r="M52" s="78">
        <f t="shared" si="93"/>
        <v>0</v>
      </c>
      <c r="N52" s="78">
        <f t="shared" si="93"/>
        <v>0</v>
      </c>
      <c r="O52" s="78">
        <f t="shared" si="93"/>
        <v>0</v>
      </c>
      <c r="P52" s="78">
        <f t="shared" si="93"/>
        <v>0</v>
      </c>
      <c r="Q52" s="78">
        <f t="shared" si="93"/>
        <v>0</v>
      </c>
      <c r="R52" s="79">
        <f t="shared" si="93"/>
        <v>0</v>
      </c>
      <c r="S52" s="79">
        <f t="shared" si="5"/>
        <v>1.1176470588235294</v>
      </c>
      <c r="T52" s="80">
        <f t="shared" si="6"/>
        <v>1</v>
      </c>
      <c r="U52" s="80">
        <f t="shared" si="7"/>
        <v>0</v>
      </c>
      <c r="V52" s="80">
        <f t="shared" si="8"/>
        <v>0</v>
      </c>
      <c r="W52" s="80">
        <f t="shared" si="9"/>
        <v>0</v>
      </c>
      <c r="X52" s="80">
        <f t="shared" si="10"/>
        <v>0</v>
      </c>
      <c r="Y52" s="80">
        <f t="shared" si="11"/>
        <v>0</v>
      </c>
      <c r="Z52" s="80">
        <f t="shared" si="12"/>
        <v>0</v>
      </c>
      <c r="AA52" s="80">
        <f t="shared" si="13"/>
        <v>0</v>
      </c>
      <c r="AB52" s="80">
        <f t="shared" si="14"/>
        <v>0</v>
      </c>
      <c r="AC52" s="80">
        <f t="shared" si="15"/>
        <v>0</v>
      </c>
      <c r="AD52" s="80">
        <f t="shared" si="16"/>
        <v>0</v>
      </c>
      <c r="AE52" s="80">
        <f t="shared" si="17"/>
        <v>0</v>
      </c>
      <c r="AF52" s="80">
        <f t="shared" si="18"/>
        <v>0</v>
      </c>
      <c r="AG52" s="80">
        <f t="shared" si="19"/>
        <v>0</v>
      </c>
      <c r="AH52" s="80">
        <f t="shared" si="20"/>
        <v>0</v>
      </c>
      <c r="AI52" s="80">
        <f t="shared" si="21"/>
        <v>0</v>
      </c>
      <c r="AJ52" s="80">
        <f t="shared" si="22"/>
        <v>0</v>
      </c>
      <c r="AK52" s="80">
        <f t="shared" ref="AK52:BA52" si="94">T52+AK51</f>
        <v>17</v>
      </c>
      <c r="AL52" s="81">
        <f t="shared" si="94"/>
        <v>19</v>
      </c>
      <c r="AM52" s="81">
        <f t="shared" si="94"/>
        <v>0</v>
      </c>
      <c r="AN52" s="81">
        <f t="shared" si="94"/>
        <v>0</v>
      </c>
      <c r="AO52" s="81">
        <f t="shared" si="94"/>
        <v>0</v>
      </c>
      <c r="AP52" s="81">
        <f t="shared" si="94"/>
        <v>0</v>
      </c>
      <c r="AQ52" s="81">
        <f t="shared" si="94"/>
        <v>0</v>
      </c>
      <c r="AR52" s="81">
        <f t="shared" si="94"/>
        <v>0</v>
      </c>
      <c r="AS52" s="81">
        <f t="shared" si="94"/>
        <v>0</v>
      </c>
      <c r="AT52" s="81">
        <f t="shared" si="94"/>
        <v>0</v>
      </c>
      <c r="AU52" s="81">
        <f t="shared" si="94"/>
        <v>0</v>
      </c>
      <c r="AV52" s="81">
        <f t="shared" si="94"/>
        <v>0</v>
      </c>
      <c r="AW52" s="81">
        <f t="shared" si="94"/>
        <v>0</v>
      </c>
      <c r="AX52" s="81">
        <f t="shared" si="94"/>
        <v>0</v>
      </c>
      <c r="AY52" s="81">
        <f t="shared" si="94"/>
        <v>0</v>
      </c>
      <c r="AZ52" s="81">
        <f t="shared" si="94"/>
        <v>0</v>
      </c>
      <c r="BA52" s="82">
        <f t="shared" si="94"/>
        <v>0</v>
      </c>
      <c r="BB52" s="39" t="str">
        <f t="shared" si="24"/>
        <v>Liste 1</v>
      </c>
      <c r="BC52" s="39"/>
      <c r="BD52" s="39"/>
      <c r="BE52" s="39"/>
      <c r="BF52" s="39"/>
      <c r="BG52" s="39"/>
      <c r="BH52" s="39"/>
      <c r="BI52" s="39"/>
      <c r="BJ52" s="39"/>
      <c r="BK52" s="39"/>
      <c r="BL52" s="39"/>
      <c r="BM52" s="39"/>
    </row>
    <row r="53" spans="1:65" ht="16" x14ac:dyDescent="0.2">
      <c r="A53" s="77">
        <v>37</v>
      </c>
      <c r="B53" s="78">
        <f t="shared" ref="B53:R53" si="95">B$12/(AK52+1)</f>
        <v>1.0555555555555556</v>
      </c>
      <c r="C53" s="78">
        <f t="shared" si="95"/>
        <v>1.1000000000000001</v>
      </c>
      <c r="D53" s="78">
        <f t="shared" si="95"/>
        <v>0</v>
      </c>
      <c r="E53" s="78">
        <f t="shared" si="95"/>
        <v>0</v>
      </c>
      <c r="F53" s="78">
        <f t="shared" si="95"/>
        <v>0</v>
      </c>
      <c r="G53" s="78">
        <f t="shared" si="95"/>
        <v>0</v>
      </c>
      <c r="H53" s="78">
        <f t="shared" si="95"/>
        <v>0</v>
      </c>
      <c r="I53" s="78">
        <f t="shared" si="95"/>
        <v>0</v>
      </c>
      <c r="J53" s="78">
        <f t="shared" si="95"/>
        <v>0</v>
      </c>
      <c r="K53" s="78">
        <f t="shared" si="95"/>
        <v>0</v>
      </c>
      <c r="L53" s="78">
        <f t="shared" si="95"/>
        <v>0</v>
      </c>
      <c r="M53" s="78">
        <f t="shared" si="95"/>
        <v>0</v>
      </c>
      <c r="N53" s="78">
        <f t="shared" si="95"/>
        <v>0</v>
      </c>
      <c r="O53" s="78">
        <f t="shared" si="95"/>
        <v>0</v>
      </c>
      <c r="P53" s="78">
        <f t="shared" si="95"/>
        <v>0</v>
      </c>
      <c r="Q53" s="78">
        <f t="shared" si="95"/>
        <v>0</v>
      </c>
      <c r="R53" s="79">
        <f t="shared" si="95"/>
        <v>0</v>
      </c>
      <c r="S53" s="79">
        <f t="shared" si="5"/>
        <v>1.1000000000000001</v>
      </c>
      <c r="T53" s="80">
        <f t="shared" si="6"/>
        <v>0</v>
      </c>
      <c r="U53" s="80">
        <f t="shared" si="7"/>
        <v>1</v>
      </c>
      <c r="V53" s="80">
        <f t="shared" si="8"/>
        <v>0</v>
      </c>
      <c r="W53" s="80">
        <f t="shared" si="9"/>
        <v>0</v>
      </c>
      <c r="X53" s="80">
        <f t="shared" si="10"/>
        <v>0</v>
      </c>
      <c r="Y53" s="80">
        <f t="shared" si="11"/>
        <v>0</v>
      </c>
      <c r="Z53" s="80">
        <f t="shared" si="12"/>
        <v>0</v>
      </c>
      <c r="AA53" s="80">
        <f t="shared" si="13"/>
        <v>0</v>
      </c>
      <c r="AB53" s="80">
        <f t="shared" si="14"/>
        <v>0</v>
      </c>
      <c r="AC53" s="80">
        <f t="shared" si="15"/>
        <v>0</v>
      </c>
      <c r="AD53" s="80">
        <f t="shared" si="16"/>
        <v>0</v>
      </c>
      <c r="AE53" s="80">
        <f t="shared" si="17"/>
        <v>0</v>
      </c>
      <c r="AF53" s="80">
        <f t="shared" si="18"/>
        <v>0</v>
      </c>
      <c r="AG53" s="80">
        <f t="shared" si="19"/>
        <v>0</v>
      </c>
      <c r="AH53" s="80">
        <f t="shared" si="20"/>
        <v>0</v>
      </c>
      <c r="AI53" s="80">
        <f t="shared" si="21"/>
        <v>0</v>
      </c>
      <c r="AJ53" s="80">
        <f t="shared" si="22"/>
        <v>0</v>
      </c>
      <c r="AK53" s="80">
        <f t="shared" ref="AK53:BA53" si="96">T53+AK52</f>
        <v>17</v>
      </c>
      <c r="AL53" s="81">
        <f t="shared" si="96"/>
        <v>20</v>
      </c>
      <c r="AM53" s="81">
        <f t="shared" si="96"/>
        <v>0</v>
      </c>
      <c r="AN53" s="81">
        <f t="shared" si="96"/>
        <v>0</v>
      </c>
      <c r="AO53" s="81">
        <f t="shared" si="96"/>
        <v>0</v>
      </c>
      <c r="AP53" s="81">
        <f t="shared" si="96"/>
        <v>0</v>
      </c>
      <c r="AQ53" s="81">
        <f t="shared" si="96"/>
        <v>0</v>
      </c>
      <c r="AR53" s="81">
        <f t="shared" si="96"/>
        <v>0</v>
      </c>
      <c r="AS53" s="81">
        <f t="shared" si="96"/>
        <v>0</v>
      </c>
      <c r="AT53" s="81">
        <f t="shared" si="96"/>
        <v>0</v>
      </c>
      <c r="AU53" s="81">
        <f t="shared" si="96"/>
        <v>0</v>
      </c>
      <c r="AV53" s="81">
        <f t="shared" si="96"/>
        <v>0</v>
      </c>
      <c r="AW53" s="81">
        <f t="shared" si="96"/>
        <v>0</v>
      </c>
      <c r="AX53" s="81">
        <f t="shared" si="96"/>
        <v>0</v>
      </c>
      <c r="AY53" s="81">
        <f t="shared" si="96"/>
        <v>0</v>
      </c>
      <c r="AZ53" s="81">
        <f t="shared" si="96"/>
        <v>0</v>
      </c>
      <c r="BA53" s="82">
        <f t="shared" si="96"/>
        <v>0</v>
      </c>
      <c r="BB53" s="39" t="str">
        <f t="shared" si="24"/>
        <v>Liste 2</v>
      </c>
      <c r="BC53" s="39"/>
      <c r="BD53" s="39"/>
      <c r="BE53" s="39"/>
      <c r="BF53" s="39"/>
      <c r="BG53" s="39"/>
      <c r="BH53" s="39"/>
      <c r="BI53" s="39"/>
      <c r="BJ53" s="39"/>
      <c r="BK53" s="39"/>
      <c r="BL53" s="39"/>
      <c r="BM53" s="39"/>
    </row>
    <row r="54" spans="1:65" ht="16" x14ac:dyDescent="0.2">
      <c r="A54" s="77">
        <v>38</v>
      </c>
      <c r="B54" s="78">
        <f t="shared" ref="B54:R54" si="97">B$12/(AK53+1)</f>
        <v>1.0555555555555556</v>
      </c>
      <c r="C54" s="78">
        <f t="shared" si="97"/>
        <v>1.0476190476190477</v>
      </c>
      <c r="D54" s="78">
        <f t="shared" si="97"/>
        <v>0</v>
      </c>
      <c r="E54" s="78">
        <f t="shared" si="97"/>
        <v>0</v>
      </c>
      <c r="F54" s="78">
        <f t="shared" si="97"/>
        <v>0</v>
      </c>
      <c r="G54" s="78">
        <f t="shared" si="97"/>
        <v>0</v>
      </c>
      <c r="H54" s="78">
        <f t="shared" si="97"/>
        <v>0</v>
      </c>
      <c r="I54" s="78">
        <f t="shared" si="97"/>
        <v>0</v>
      </c>
      <c r="J54" s="78">
        <f t="shared" si="97"/>
        <v>0</v>
      </c>
      <c r="K54" s="78">
        <f t="shared" si="97"/>
        <v>0</v>
      </c>
      <c r="L54" s="78">
        <f t="shared" si="97"/>
        <v>0</v>
      </c>
      <c r="M54" s="78">
        <f t="shared" si="97"/>
        <v>0</v>
      </c>
      <c r="N54" s="78">
        <f t="shared" si="97"/>
        <v>0</v>
      </c>
      <c r="O54" s="78">
        <f t="shared" si="97"/>
        <v>0</v>
      </c>
      <c r="P54" s="78">
        <f t="shared" si="97"/>
        <v>0</v>
      </c>
      <c r="Q54" s="78">
        <f t="shared" si="97"/>
        <v>0</v>
      </c>
      <c r="R54" s="79">
        <f t="shared" si="97"/>
        <v>0</v>
      </c>
      <c r="S54" s="79">
        <f t="shared" si="5"/>
        <v>1.0555555555555556</v>
      </c>
      <c r="T54" s="80">
        <f t="shared" si="6"/>
        <v>1</v>
      </c>
      <c r="U54" s="80">
        <f t="shared" si="7"/>
        <v>0</v>
      </c>
      <c r="V54" s="80">
        <f t="shared" si="8"/>
        <v>0</v>
      </c>
      <c r="W54" s="80">
        <f t="shared" si="9"/>
        <v>0</v>
      </c>
      <c r="X54" s="80">
        <f t="shared" si="10"/>
        <v>0</v>
      </c>
      <c r="Y54" s="80">
        <f t="shared" si="11"/>
        <v>0</v>
      </c>
      <c r="Z54" s="80">
        <f t="shared" si="12"/>
        <v>0</v>
      </c>
      <c r="AA54" s="80">
        <f t="shared" si="13"/>
        <v>0</v>
      </c>
      <c r="AB54" s="80">
        <f t="shared" si="14"/>
        <v>0</v>
      </c>
      <c r="AC54" s="80">
        <f t="shared" si="15"/>
        <v>0</v>
      </c>
      <c r="AD54" s="80">
        <f t="shared" si="16"/>
        <v>0</v>
      </c>
      <c r="AE54" s="80">
        <f t="shared" si="17"/>
        <v>0</v>
      </c>
      <c r="AF54" s="80">
        <f t="shared" si="18"/>
        <v>0</v>
      </c>
      <c r="AG54" s="80">
        <f t="shared" si="19"/>
        <v>0</v>
      </c>
      <c r="AH54" s="80">
        <f t="shared" si="20"/>
        <v>0</v>
      </c>
      <c r="AI54" s="80">
        <f t="shared" si="21"/>
        <v>0</v>
      </c>
      <c r="AJ54" s="80">
        <f t="shared" si="22"/>
        <v>0</v>
      </c>
      <c r="AK54" s="80">
        <f t="shared" ref="AK54:BA54" si="98">T54+AK53</f>
        <v>18</v>
      </c>
      <c r="AL54" s="81">
        <f t="shared" si="98"/>
        <v>20</v>
      </c>
      <c r="AM54" s="81">
        <f t="shared" si="98"/>
        <v>0</v>
      </c>
      <c r="AN54" s="81">
        <f t="shared" si="98"/>
        <v>0</v>
      </c>
      <c r="AO54" s="81">
        <f t="shared" si="98"/>
        <v>0</v>
      </c>
      <c r="AP54" s="81">
        <f t="shared" si="98"/>
        <v>0</v>
      </c>
      <c r="AQ54" s="81">
        <f t="shared" si="98"/>
        <v>0</v>
      </c>
      <c r="AR54" s="81">
        <f t="shared" si="98"/>
        <v>0</v>
      </c>
      <c r="AS54" s="81">
        <f t="shared" si="98"/>
        <v>0</v>
      </c>
      <c r="AT54" s="81">
        <f t="shared" si="98"/>
        <v>0</v>
      </c>
      <c r="AU54" s="81">
        <f t="shared" si="98"/>
        <v>0</v>
      </c>
      <c r="AV54" s="81">
        <f t="shared" si="98"/>
        <v>0</v>
      </c>
      <c r="AW54" s="81">
        <f t="shared" si="98"/>
        <v>0</v>
      </c>
      <c r="AX54" s="81">
        <f t="shared" si="98"/>
        <v>0</v>
      </c>
      <c r="AY54" s="81">
        <f t="shared" si="98"/>
        <v>0</v>
      </c>
      <c r="AZ54" s="81">
        <f t="shared" si="98"/>
        <v>0</v>
      </c>
      <c r="BA54" s="82">
        <f t="shared" si="98"/>
        <v>0</v>
      </c>
      <c r="BB54" s="39" t="str">
        <f t="shared" si="24"/>
        <v>Liste 1</v>
      </c>
      <c r="BC54" s="39"/>
      <c r="BD54" s="39"/>
      <c r="BE54" s="39"/>
      <c r="BF54" s="39"/>
      <c r="BG54" s="39"/>
      <c r="BH54" s="39"/>
      <c r="BI54" s="39"/>
      <c r="BJ54" s="39"/>
      <c r="BK54" s="39"/>
      <c r="BL54" s="39"/>
      <c r="BM54" s="39"/>
    </row>
    <row r="55" spans="1:65" ht="16" x14ac:dyDescent="0.2">
      <c r="A55" s="77">
        <v>39</v>
      </c>
      <c r="B55" s="78">
        <f t="shared" ref="B55:R55" si="99">B$12/(AK54+1)</f>
        <v>1</v>
      </c>
      <c r="C55" s="78">
        <f t="shared" si="99"/>
        <v>1.0476190476190477</v>
      </c>
      <c r="D55" s="78">
        <f t="shared" si="99"/>
        <v>0</v>
      </c>
      <c r="E55" s="78">
        <f t="shared" si="99"/>
        <v>0</v>
      </c>
      <c r="F55" s="78">
        <f t="shared" si="99"/>
        <v>0</v>
      </c>
      <c r="G55" s="78">
        <f t="shared" si="99"/>
        <v>0</v>
      </c>
      <c r="H55" s="78">
        <f t="shared" si="99"/>
        <v>0</v>
      </c>
      <c r="I55" s="78">
        <f t="shared" si="99"/>
        <v>0</v>
      </c>
      <c r="J55" s="78">
        <f t="shared" si="99"/>
        <v>0</v>
      </c>
      <c r="K55" s="78">
        <f t="shared" si="99"/>
        <v>0</v>
      </c>
      <c r="L55" s="78">
        <f t="shared" si="99"/>
        <v>0</v>
      </c>
      <c r="M55" s="78">
        <f t="shared" si="99"/>
        <v>0</v>
      </c>
      <c r="N55" s="78">
        <f t="shared" si="99"/>
        <v>0</v>
      </c>
      <c r="O55" s="78">
        <f t="shared" si="99"/>
        <v>0</v>
      </c>
      <c r="P55" s="78">
        <f t="shared" si="99"/>
        <v>0</v>
      </c>
      <c r="Q55" s="78">
        <f t="shared" si="99"/>
        <v>0</v>
      </c>
      <c r="R55" s="79">
        <f t="shared" si="99"/>
        <v>0</v>
      </c>
      <c r="S55" s="79">
        <f t="shared" si="5"/>
        <v>1.0476190476190477</v>
      </c>
      <c r="T55" s="80">
        <f t="shared" si="6"/>
        <v>0</v>
      </c>
      <c r="U55" s="80">
        <f t="shared" si="7"/>
        <v>1</v>
      </c>
      <c r="V55" s="80">
        <f t="shared" si="8"/>
        <v>0</v>
      </c>
      <c r="W55" s="80">
        <f t="shared" si="9"/>
        <v>0</v>
      </c>
      <c r="X55" s="80">
        <f t="shared" si="10"/>
        <v>0</v>
      </c>
      <c r="Y55" s="80">
        <f t="shared" si="11"/>
        <v>0</v>
      </c>
      <c r="Z55" s="80">
        <f t="shared" si="12"/>
        <v>0</v>
      </c>
      <c r="AA55" s="80">
        <f t="shared" si="13"/>
        <v>0</v>
      </c>
      <c r="AB55" s="80">
        <f t="shared" si="14"/>
        <v>0</v>
      </c>
      <c r="AC55" s="80">
        <f t="shared" si="15"/>
        <v>0</v>
      </c>
      <c r="AD55" s="80">
        <f t="shared" si="16"/>
        <v>0</v>
      </c>
      <c r="AE55" s="80">
        <f t="shared" si="17"/>
        <v>0</v>
      </c>
      <c r="AF55" s="80">
        <f t="shared" si="18"/>
        <v>0</v>
      </c>
      <c r="AG55" s="80">
        <f t="shared" si="19"/>
        <v>0</v>
      </c>
      <c r="AH55" s="80">
        <f t="shared" si="20"/>
        <v>0</v>
      </c>
      <c r="AI55" s="80">
        <f t="shared" si="21"/>
        <v>0</v>
      </c>
      <c r="AJ55" s="80">
        <f t="shared" si="22"/>
        <v>0</v>
      </c>
      <c r="AK55" s="80">
        <f t="shared" ref="AK55:BA55" si="100">T55+AK54</f>
        <v>18</v>
      </c>
      <c r="AL55" s="81">
        <f t="shared" si="100"/>
        <v>21</v>
      </c>
      <c r="AM55" s="81">
        <f t="shared" si="100"/>
        <v>0</v>
      </c>
      <c r="AN55" s="81">
        <f t="shared" si="100"/>
        <v>0</v>
      </c>
      <c r="AO55" s="81">
        <f t="shared" si="100"/>
        <v>0</v>
      </c>
      <c r="AP55" s="81">
        <f t="shared" si="100"/>
        <v>0</v>
      </c>
      <c r="AQ55" s="81">
        <f t="shared" si="100"/>
        <v>0</v>
      </c>
      <c r="AR55" s="81">
        <f t="shared" si="100"/>
        <v>0</v>
      </c>
      <c r="AS55" s="81">
        <f t="shared" si="100"/>
        <v>0</v>
      </c>
      <c r="AT55" s="81">
        <f t="shared" si="100"/>
        <v>0</v>
      </c>
      <c r="AU55" s="81">
        <f t="shared" si="100"/>
        <v>0</v>
      </c>
      <c r="AV55" s="81">
        <f t="shared" si="100"/>
        <v>0</v>
      </c>
      <c r="AW55" s="81">
        <f t="shared" si="100"/>
        <v>0</v>
      </c>
      <c r="AX55" s="81">
        <f t="shared" si="100"/>
        <v>0</v>
      </c>
      <c r="AY55" s="81">
        <f t="shared" si="100"/>
        <v>0</v>
      </c>
      <c r="AZ55" s="81">
        <f t="shared" si="100"/>
        <v>0</v>
      </c>
      <c r="BA55" s="82">
        <f t="shared" si="100"/>
        <v>0</v>
      </c>
      <c r="BB55" s="39" t="str">
        <f t="shared" si="24"/>
        <v>Liste 2</v>
      </c>
      <c r="BC55" s="39"/>
      <c r="BD55" s="39"/>
      <c r="BE55" s="39"/>
      <c r="BF55" s="39"/>
      <c r="BG55" s="39"/>
      <c r="BH55" s="39"/>
      <c r="BI55" s="39"/>
      <c r="BJ55" s="39"/>
      <c r="BK55" s="39"/>
      <c r="BL55" s="39"/>
      <c r="BM55" s="39"/>
    </row>
    <row r="56" spans="1:65" ht="16" x14ac:dyDescent="0.2">
      <c r="A56" s="77">
        <v>40</v>
      </c>
      <c r="B56" s="78">
        <f t="shared" ref="B56:R56" si="101">B$12/(AK55+1)</f>
        <v>1</v>
      </c>
      <c r="C56" s="78">
        <f t="shared" si="101"/>
        <v>1</v>
      </c>
      <c r="D56" s="78">
        <f t="shared" si="101"/>
        <v>0</v>
      </c>
      <c r="E56" s="78">
        <f t="shared" si="101"/>
        <v>0</v>
      </c>
      <c r="F56" s="78">
        <f t="shared" si="101"/>
        <v>0</v>
      </c>
      <c r="G56" s="78">
        <f t="shared" si="101"/>
        <v>0</v>
      </c>
      <c r="H56" s="78">
        <f t="shared" si="101"/>
        <v>0</v>
      </c>
      <c r="I56" s="78">
        <f t="shared" si="101"/>
        <v>0</v>
      </c>
      <c r="J56" s="78">
        <f t="shared" si="101"/>
        <v>0</v>
      </c>
      <c r="K56" s="78">
        <f t="shared" si="101"/>
        <v>0</v>
      </c>
      <c r="L56" s="78">
        <f t="shared" si="101"/>
        <v>0</v>
      </c>
      <c r="M56" s="78">
        <f t="shared" si="101"/>
        <v>0</v>
      </c>
      <c r="N56" s="78">
        <f t="shared" si="101"/>
        <v>0</v>
      </c>
      <c r="O56" s="78">
        <f t="shared" si="101"/>
        <v>0</v>
      </c>
      <c r="P56" s="78">
        <f t="shared" si="101"/>
        <v>0</v>
      </c>
      <c r="Q56" s="78">
        <f t="shared" si="101"/>
        <v>0</v>
      </c>
      <c r="R56" s="79">
        <f t="shared" si="101"/>
        <v>0</v>
      </c>
      <c r="S56" s="79">
        <f t="shared" si="5"/>
        <v>1</v>
      </c>
      <c r="T56" s="80">
        <f t="shared" si="6"/>
        <v>1</v>
      </c>
      <c r="U56" s="80">
        <f t="shared" si="7"/>
        <v>0</v>
      </c>
      <c r="V56" s="80">
        <f t="shared" si="8"/>
        <v>0</v>
      </c>
      <c r="W56" s="80">
        <f t="shared" si="9"/>
        <v>0</v>
      </c>
      <c r="X56" s="80">
        <f t="shared" si="10"/>
        <v>0</v>
      </c>
      <c r="Y56" s="80">
        <f t="shared" si="11"/>
        <v>0</v>
      </c>
      <c r="Z56" s="80">
        <f t="shared" si="12"/>
        <v>0</v>
      </c>
      <c r="AA56" s="80">
        <f t="shared" si="13"/>
        <v>0</v>
      </c>
      <c r="AB56" s="80">
        <f t="shared" si="14"/>
        <v>0</v>
      </c>
      <c r="AC56" s="80">
        <f t="shared" si="15"/>
        <v>0</v>
      </c>
      <c r="AD56" s="80">
        <f t="shared" si="16"/>
        <v>0</v>
      </c>
      <c r="AE56" s="80">
        <f t="shared" si="17"/>
        <v>0</v>
      </c>
      <c r="AF56" s="80">
        <f t="shared" si="18"/>
        <v>0</v>
      </c>
      <c r="AG56" s="80">
        <f t="shared" si="19"/>
        <v>0</v>
      </c>
      <c r="AH56" s="80">
        <f t="shared" si="20"/>
        <v>0</v>
      </c>
      <c r="AI56" s="80">
        <f t="shared" si="21"/>
        <v>0</v>
      </c>
      <c r="AJ56" s="80">
        <f t="shared" si="22"/>
        <v>0</v>
      </c>
      <c r="AK56" s="80">
        <f t="shared" ref="AK56:BA56" si="102">T56+AK55</f>
        <v>19</v>
      </c>
      <c r="AL56" s="81">
        <f t="shared" si="102"/>
        <v>21</v>
      </c>
      <c r="AM56" s="81">
        <f t="shared" si="102"/>
        <v>0</v>
      </c>
      <c r="AN56" s="81">
        <f t="shared" si="102"/>
        <v>0</v>
      </c>
      <c r="AO56" s="81">
        <f t="shared" si="102"/>
        <v>0</v>
      </c>
      <c r="AP56" s="81">
        <f t="shared" si="102"/>
        <v>0</v>
      </c>
      <c r="AQ56" s="81">
        <f t="shared" si="102"/>
        <v>0</v>
      </c>
      <c r="AR56" s="81">
        <f t="shared" si="102"/>
        <v>0</v>
      </c>
      <c r="AS56" s="81">
        <f t="shared" si="102"/>
        <v>0</v>
      </c>
      <c r="AT56" s="81">
        <f t="shared" si="102"/>
        <v>0</v>
      </c>
      <c r="AU56" s="81">
        <f t="shared" si="102"/>
        <v>0</v>
      </c>
      <c r="AV56" s="81">
        <f t="shared" si="102"/>
        <v>0</v>
      </c>
      <c r="AW56" s="81">
        <f t="shared" si="102"/>
        <v>0</v>
      </c>
      <c r="AX56" s="81">
        <f t="shared" si="102"/>
        <v>0</v>
      </c>
      <c r="AY56" s="81">
        <f t="shared" si="102"/>
        <v>0</v>
      </c>
      <c r="AZ56" s="81">
        <f t="shared" si="102"/>
        <v>0</v>
      </c>
      <c r="BA56" s="82">
        <f t="shared" si="102"/>
        <v>0</v>
      </c>
      <c r="BB56" s="39" t="str">
        <f t="shared" si="24"/>
        <v>Liste 1</v>
      </c>
      <c r="BC56" s="39"/>
      <c r="BD56" s="39"/>
      <c r="BE56" s="39"/>
      <c r="BF56" s="39"/>
      <c r="BG56" s="39"/>
      <c r="BH56" s="39"/>
      <c r="BI56" s="39"/>
      <c r="BJ56" s="39"/>
      <c r="BK56" s="39"/>
      <c r="BL56" s="39"/>
      <c r="BM56" s="39"/>
    </row>
    <row r="57" spans="1:65" ht="16" x14ac:dyDescent="0.2">
      <c r="A57" s="77">
        <v>41</v>
      </c>
      <c r="B57" s="78">
        <f t="shared" ref="B57:R57" si="103">B$12/(AK56+1)</f>
        <v>0.95</v>
      </c>
      <c r="C57" s="78">
        <f t="shared" si="103"/>
        <v>1</v>
      </c>
      <c r="D57" s="78">
        <f t="shared" si="103"/>
        <v>0</v>
      </c>
      <c r="E57" s="78">
        <f t="shared" si="103"/>
        <v>0</v>
      </c>
      <c r="F57" s="78">
        <f t="shared" si="103"/>
        <v>0</v>
      </c>
      <c r="G57" s="78">
        <f t="shared" si="103"/>
        <v>0</v>
      </c>
      <c r="H57" s="78">
        <f t="shared" si="103"/>
        <v>0</v>
      </c>
      <c r="I57" s="78">
        <f t="shared" si="103"/>
        <v>0</v>
      </c>
      <c r="J57" s="78">
        <f t="shared" si="103"/>
        <v>0</v>
      </c>
      <c r="K57" s="78">
        <f t="shared" si="103"/>
        <v>0</v>
      </c>
      <c r="L57" s="78">
        <f t="shared" si="103"/>
        <v>0</v>
      </c>
      <c r="M57" s="78">
        <f t="shared" si="103"/>
        <v>0</v>
      </c>
      <c r="N57" s="78">
        <f t="shared" si="103"/>
        <v>0</v>
      </c>
      <c r="O57" s="78">
        <f t="shared" si="103"/>
        <v>0</v>
      </c>
      <c r="P57" s="78">
        <f t="shared" si="103"/>
        <v>0</v>
      </c>
      <c r="Q57" s="78">
        <f t="shared" si="103"/>
        <v>0</v>
      </c>
      <c r="R57" s="79">
        <f t="shared" si="103"/>
        <v>0</v>
      </c>
      <c r="S57" s="79">
        <f t="shared" si="5"/>
        <v>1</v>
      </c>
      <c r="T57" s="80">
        <f t="shared" si="6"/>
        <v>0</v>
      </c>
      <c r="U57" s="80">
        <f t="shared" si="7"/>
        <v>1</v>
      </c>
      <c r="V57" s="80">
        <f t="shared" si="8"/>
        <v>0</v>
      </c>
      <c r="W57" s="80">
        <f t="shared" si="9"/>
        <v>0</v>
      </c>
      <c r="X57" s="80">
        <f t="shared" si="10"/>
        <v>0</v>
      </c>
      <c r="Y57" s="80">
        <f t="shared" si="11"/>
        <v>0</v>
      </c>
      <c r="Z57" s="80">
        <f t="shared" si="12"/>
        <v>0</v>
      </c>
      <c r="AA57" s="80">
        <f t="shared" si="13"/>
        <v>0</v>
      </c>
      <c r="AB57" s="80">
        <f t="shared" si="14"/>
        <v>0</v>
      </c>
      <c r="AC57" s="80">
        <f t="shared" si="15"/>
        <v>0</v>
      </c>
      <c r="AD57" s="80">
        <f t="shared" si="16"/>
        <v>0</v>
      </c>
      <c r="AE57" s="80">
        <f t="shared" si="17"/>
        <v>0</v>
      </c>
      <c r="AF57" s="80">
        <f t="shared" si="18"/>
        <v>0</v>
      </c>
      <c r="AG57" s="80">
        <f t="shared" si="19"/>
        <v>0</v>
      </c>
      <c r="AH57" s="80">
        <f t="shared" si="20"/>
        <v>0</v>
      </c>
      <c r="AI57" s="80">
        <f t="shared" si="21"/>
        <v>0</v>
      </c>
      <c r="AJ57" s="80">
        <f t="shared" si="22"/>
        <v>0</v>
      </c>
      <c r="AK57" s="80">
        <f t="shared" ref="AK57:BA57" si="104">T57+AK56</f>
        <v>19</v>
      </c>
      <c r="AL57" s="81">
        <f t="shared" si="104"/>
        <v>22</v>
      </c>
      <c r="AM57" s="81">
        <f t="shared" si="104"/>
        <v>0</v>
      </c>
      <c r="AN57" s="81">
        <f t="shared" si="104"/>
        <v>0</v>
      </c>
      <c r="AO57" s="81">
        <f t="shared" si="104"/>
        <v>0</v>
      </c>
      <c r="AP57" s="81">
        <f t="shared" si="104"/>
        <v>0</v>
      </c>
      <c r="AQ57" s="81">
        <f t="shared" si="104"/>
        <v>0</v>
      </c>
      <c r="AR57" s="81">
        <f t="shared" si="104"/>
        <v>0</v>
      </c>
      <c r="AS57" s="81">
        <f t="shared" si="104"/>
        <v>0</v>
      </c>
      <c r="AT57" s="81">
        <f t="shared" si="104"/>
        <v>0</v>
      </c>
      <c r="AU57" s="81">
        <f t="shared" si="104"/>
        <v>0</v>
      </c>
      <c r="AV57" s="81">
        <f t="shared" si="104"/>
        <v>0</v>
      </c>
      <c r="AW57" s="81">
        <f t="shared" si="104"/>
        <v>0</v>
      </c>
      <c r="AX57" s="81">
        <f t="shared" si="104"/>
        <v>0</v>
      </c>
      <c r="AY57" s="81">
        <f t="shared" si="104"/>
        <v>0</v>
      </c>
      <c r="AZ57" s="81">
        <f t="shared" si="104"/>
        <v>0</v>
      </c>
      <c r="BA57" s="82">
        <f t="shared" si="104"/>
        <v>0</v>
      </c>
      <c r="BB57" s="39" t="str">
        <f t="shared" si="24"/>
        <v>Liste 2</v>
      </c>
      <c r="BC57" s="39"/>
      <c r="BD57" s="39"/>
      <c r="BE57" s="39"/>
      <c r="BF57" s="39"/>
      <c r="BG57" s="39"/>
      <c r="BH57" s="39"/>
      <c r="BI57" s="39"/>
      <c r="BJ57" s="39"/>
      <c r="BK57" s="39"/>
      <c r="BL57" s="39"/>
      <c r="BM57" s="39"/>
    </row>
    <row r="58" spans="1:65" ht="16" x14ac:dyDescent="0.2">
      <c r="A58" s="77">
        <v>42</v>
      </c>
      <c r="B58" s="78">
        <f t="shared" ref="B58:R58" si="105">B$12/(AK57+1)</f>
        <v>0.95</v>
      </c>
      <c r="C58" s="78">
        <f t="shared" si="105"/>
        <v>0.95652173913043481</v>
      </c>
      <c r="D58" s="78">
        <f t="shared" si="105"/>
        <v>0</v>
      </c>
      <c r="E58" s="78">
        <f t="shared" si="105"/>
        <v>0</v>
      </c>
      <c r="F58" s="78">
        <f t="shared" si="105"/>
        <v>0</v>
      </c>
      <c r="G58" s="78">
        <f t="shared" si="105"/>
        <v>0</v>
      </c>
      <c r="H58" s="78">
        <f t="shared" si="105"/>
        <v>0</v>
      </c>
      <c r="I58" s="78">
        <f t="shared" si="105"/>
        <v>0</v>
      </c>
      <c r="J58" s="78">
        <f t="shared" si="105"/>
        <v>0</v>
      </c>
      <c r="K58" s="78">
        <f t="shared" si="105"/>
        <v>0</v>
      </c>
      <c r="L58" s="78">
        <f t="shared" si="105"/>
        <v>0</v>
      </c>
      <c r="M58" s="78">
        <f t="shared" si="105"/>
        <v>0</v>
      </c>
      <c r="N58" s="78">
        <f t="shared" si="105"/>
        <v>0</v>
      </c>
      <c r="O58" s="78">
        <f t="shared" si="105"/>
        <v>0</v>
      </c>
      <c r="P58" s="78">
        <f t="shared" si="105"/>
        <v>0</v>
      </c>
      <c r="Q58" s="78">
        <f t="shared" si="105"/>
        <v>0</v>
      </c>
      <c r="R58" s="79">
        <f t="shared" si="105"/>
        <v>0</v>
      </c>
      <c r="S58" s="79">
        <f t="shared" si="5"/>
        <v>0.95652173913043481</v>
      </c>
      <c r="T58" s="80">
        <f t="shared" si="6"/>
        <v>0</v>
      </c>
      <c r="U58" s="80">
        <f t="shared" si="7"/>
        <v>1</v>
      </c>
      <c r="V58" s="80">
        <f t="shared" si="8"/>
        <v>0</v>
      </c>
      <c r="W58" s="80">
        <f t="shared" si="9"/>
        <v>0</v>
      </c>
      <c r="X58" s="80">
        <f t="shared" si="10"/>
        <v>0</v>
      </c>
      <c r="Y58" s="80">
        <f t="shared" si="11"/>
        <v>0</v>
      </c>
      <c r="Z58" s="80">
        <f t="shared" si="12"/>
        <v>0</v>
      </c>
      <c r="AA58" s="80">
        <f t="shared" si="13"/>
        <v>0</v>
      </c>
      <c r="AB58" s="80">
        <f t="shared" si="14"/>
        <v>0</v>
      </c>
      <c r="AC58" s="80">
        <f t="shared" si="15"/>
        <v>0</v>
      </c>
      <c r="AD58" s="80">
        <f t="shared" si="16"/>
        <v>0</v>
      </c>
      <c r="AE58" s="80">
        <f t="shared" si="17"/>
        <v>0</v>
      </c>
      <c r="AF58" s="80">
        <f t="shared" si="18"/>
        <v>0</v>
      </c>
      <c r="AG58" s="80">
        <f t="shared" si="19"/>
        <v>0</v>
      </c>
      <c r="AH58" s="80">
        <f t="shared" si="20"/>
        <v>0</v>
      </c>
      <c r="AI58" s="80">
        <f t="shared" si="21"/>
        <v>0</v>
      </c>
      <c r="AJ58" s="80">
        <f t="shared" si="22"/>
        <v>0</v>
      </c>
      <c r="AK58" s="80">
        <f t="shared" ref="AK58:BA58" si="106">T58+AK57</f>
        <v>19</v>
      </c>
      <c r="AL58" s="81">
        <f t="shared" si="106"/>
        <v>23</v>
      </c>
      <c r="AM58" s="81">
        <f t="shared" si="106"/>
        <v>0</v>
      </c>
      <c r="AN58" s="81">
        <f t="shared" si="106"/>
        <v>0</v>
      </c>
      <c r="AO58" s="81">
        <f t="shared" si="106"/>
        <v>0</v>
      </c>
      <c r="AP58" s="81">
        <f t="shared" si="106"/>
        <v>0</v>
      </c>
      <c r="AQ58" s="81">
        <f t="shared" si="106"/>
        <v>0</v>
      </c>
      <c r="AR58" s="81">
        <f t="shared" si="106"/>
        <v>0</v>
      </c>
      <c r="AS58" s="81">
        <f t="shared" si="106"/>
        <v>0</v>
      </c>
      <c r="AT58" s="81">
        <f t="shared" si="106"/>
        <v>0</v>
      </c>
      <c r="AU58" s="81">
        <f t="shared" si="106"/>
        <v>0</v>
      </c>
      <c r="AV58" s="81">
        <f t="shared" si="106"/>
        <v>0</v>
      </c>
      <c r="AW58" s="81">
        <f t="shared" si="106"/>
        <v>0</v>
      </c>
      <c r="AX58" s="81">
        <f t="shared" si="106"/>
        <v>0</v>
      </c>
      <c r="AY58" s="81">
        <f t="shared" si="106"/>
        <v>0</v>
      </c>
      <c r="AZ58" s="81">
        <f t="shared" si="106"/>
        <v>0</v>
      </c>
      <c r="BA58" s="82">
        <f t="shared" si="106"/>
        <v>0</v>
      </c>
      <c r="BB58" s="39" t="str">
        <f t="shared" si="24"/>
        <v>Liste 2</v>
      </c>
      <c r="BC58" s="39"/>
      <c r="BD58" s="39"/>
      <c r="BE58" s="39"/>
      <c r="BF58" s="39"/>
      <c r="BG58" s="39"/>
      <c r="BH58" s="39"/>
      <c r="BI58" s="39"/>
      <c r="BJ58" s="39"/>
      <c r="BK58" s="39"/>
      <c r="BL58" s="39"/>
      <c r="BM58" s="39"/>
    </row>
    <row r="59" spans="1:65" ht="16" x14ac:dyDescent="0.2">
      <c r="A59" s="77">
        <v>43</v>
      </c>
      <c r="B59" s="78">
        <f t="shared" ref="B59:R59" si="107">B$12/(AK58+1)</f>
        <v>0.95</v>
      </c>
      <c r="C59" s="78">
        <f t="shared" si="107"/>
        <v>0.91666666666666663</v>
      </c>
      <c r="D59" s="78">
        <f t="shared" si="107"/>
        <v>0</v>
      </c>
      <c r="E59" s="78">
        <f t="shared" si="107"/>
        <v>0</v>
      </c>
      <c r="F59" s="78">
        <f t="shared" si="107"/>
        <v>0</v>
      </c>
      <c r="G59" s="78">
        <f t="shared" si="107"/>
        <v>0</v>
      </c>
      <c r="H59" s="78">
        <f t="shared" si="107"/>
        <v>0</v>
      </c>
      <c r="I59" s="78">
        <f t="shared" si="107"/>
        <v>0</v>
      </c>
      <c r="J59" s="78">
        <f t="shared" si="107"/>
        <v>0</v>
      </c>
      <c r="K59" s="78">
        <f t="shared" si="107"/>
        <v>0</v>
      </c>
      <c r="L59" s="78">
        <f t="shared" si="107"/>
        <v>0</v>
      </c>
      <c r="M59" s="78">
        <f t="shared" si="107"/>
        <v>0</v>
      </c>
      <c r="N59" s="78">
        <f t="shared" si="107"/>
        <v>0</v>
      </c>
      <c r="O59" s="78">
        <f t="shared" si="107"/>
        <v>0</v>
      </c>
      <c r="P59" s="78">
        <f t="shared" si="107"/>
        <v>0</v>
      </c>
      <c r="Q59" s="78">
        <f t="shared" si="107"/>
        <v>0</v>
      </c>
      <c r="R59" s="79">
        <f t="shared" si="107"/>
        <v>0</v>
      </c>
      <c r="S59" s="79">
        <f t="shared" si="5"/>
        <v>0.95</v>
      </c>
      <c r="T59" s="80">
        <f t="shared" si="6"/>
        <v>1</v>
      </c>
      <c r="U59" s="80">
        <f t="shared" si="7"/>
        <v>0</v>
      </c>
      <c r="V59" s="80">
        <f t="shared" si="8"/>
        <v>0</v>
      </c>
      <c r="W59" s="80">
        <f t="shared" si="9"/>
        <v>0</v>
      </c>
      <c r="X59" s="80">
        <f t="shared" si="10"/>
        <v>0</v>
      </c>
      <c r="Y59" s="80">
        <f t="shared" si="11"/>
        <v>0</v>
      </c>
      <c r="Z59" s="80">
        <f t="shared" si="12"/>
        <v>0</v>
      </c>
      <c r="AA59" s="80">
        <f t="shared" si="13"/>
        <v>0</v>
      </c>
      <c r="AB59" s="80">
        <f t="shared" si="14"/>
        <v>0</v>
      </c>
      <c r="AC59" s="80">
        <f t="shared" si="15"/>
        <v>0</v>
      </c>
      <c r="AD59" s="80">
        <f t="shared" si="16"/>
        <v>0</v>
      </c>
      <c r="AE59" s="80">
        <f t="shared" si="17"/>
        <v>0</v>
      </c>
      <c r="AF59" s="80">
        <f t="shared" si="18"/>
        <v>0</v>
      </c>
      <c r="AG59" s="80">
        <f t="shared" si="19"/>
        <v>0</v>
      </c>
      <c r="AH59" s="80">
        <f t="shared" si="20"/>
        <v>0</v>
      </c>
      <c r="AI59" s="80">
        <f t="shared" si="21"/>
        <v>0</v>
      </c>
      <c r="AJ59" s="80">
        <f t="shared" si="22"/>
        <v>0</v>
      </c>
      <c r="AK59" s="80">
        <f t="shared" ref="AK59:BA59" si="108">T59+AK58</f>
        <v>20</v>
      </c>
      <c r="AL59" s="81">
        <f t="shared" si="108"/>
        <v>23</v>
      </c>
      <c r="AM59" s="81">
        <f t="shared" si="108"/>
        <v>0</v>
      </c>
      <c r="AN59" s="81">
        <f t="shared" si="108"/>
        <v>0</v>
      </c>
      <c r="AO59" s="81">
        <f t="shared" si="108"/>
        <v>0</v>
      </c>
      <c r="AP59" s="81">
        <f t="shared" si="108"/>
        <v>0</v>
      </c>
      <c r="AQ59" s="81">
        <f t="shared" si="108"/>
        <v>0</v>
      </c>
      <c r="AR59" s="81">
        <f t="shared" si="108"/>
        <v>0</v>
      </c>
      <c r="AS59" s="81">
        <f t="shared" si="108"/>
        <v>0</v>
      </c>
      <c r="AT59" s="81">
        <f t="shared" si="108"/>
        <v>0</v>
      </c>
      <c r="AU59" s="81">
        <f t="shared" si="108"/>
        <v>0</v>
      </c>
      <c r="AV59" s="81">
        <f t="shared" si="108"/>
        <v>0</v>
      </c>
      <c r="AW59" s="81">
        <f t="shared" si="108"/>
        <v>0</v>
      </c>
      <c r="AX59" s="81">
        <f t="shared" si="108"/>
        <v>0</v>
      </c>
      <c r="AY59" s="81">
        <f t="shared" si="108"/>
        <v>0</v>
      </c>
      <c r="AZ59" s="81">
        <f t="shared" si="108"/>
        <v>0</v>
      </c>
      <c r="BA59" s="82">
        <f t="shared" si="108"/>
        <v>0</v>
      </c>
      <c r="BB59" s="39" t="str">
        <f t="shared" si="24"/>
        <v>Liste 1</v>
      </c>
      <c r="BC59" s="39"/>
      <c r="BD59" s="39"/>
      <c r="BE59" s="39"/>
      <c r="BF59" s="39"/>
      <c r="BG59" s="39"/>
      <c r="BH59" s="39"/>
      <c r="BI59" s="39"/>
      <c r="BJ59" s="39"/>
      <c r="BK59" s="39"/>
      <c r="BL59" s="39"/>
      <c r="BM59" s="39"/>
    </row>
    <row r="60" spans="1:65" ht="16" x14ac:dyDescent="0.2">
      <c r="A60" s="77">
        <v>44</v>
      </c>
      <c r="B60" s="78">
        <f t="shared" ref="B60:R60" si="109">B$12/(AK59+1)</f>
        <v>0.90476190476190477</v>
      </c>
      <c r="C60" s="78">
        <f t="shared" si="109"/>
        <v>0.91666666666666663</v>
      </c>
      <c r="D60" s="78">
        <f t="shared" si="109"/>
        <v>0</v>
      </c>
      <c r="E60" s="78">
        <f t="shared" si="109"/>
        <v>0</v>
      </c>
      <c r="F60" s="78">
        <f t="shared" si="109"/>
        <v>0</v>
      </c>
      <c r="G60" s="78">
        <f t="shared" si="109"/>
        <v>0</v>
      </c>
      <c r="H60" s="78">
        <f t="shared" si="109"/>
        <v>0</v>
      </c>
      <c r="I60" s="78">
        <f t="shared" si="109"/>
        <v>0</v>
      </c>
      <c r="J60" s="78">
        <f t="shared" si="109"/>
        <v>0</v>
      </c>
      <c r="K60" s="78">
        <f t="shared" si="109"/>
        <v>0</v>
      </c>
      <c r="L60" s="78">
        <f t="shared" si="109"/>
        <v>0</v>
      </c>
      <c r="M60" s="78">
        <f t="shared" si="109"/>
        <v>0</v>
      </c>
      <c r="N60" s="78">
        <f t="shared" si="109"/>
        <v>0</v>
      </c>
      <c r="O60" s="78">
        <f t="shared" si="109"/>
        <v>0</v>
      </c>
      <c r="P60" s="78">
        <f t="shared" si="109"/>
        <v>0</v>
      </c>
      <c r="Q60" s="78">
        <f t="shared" si="109"/>
        <v>0</v>
      </c>
      <c r="R60" s="79">
        <f t="shared" si="109"/>
        <v>0</v>
      </c>
      <c r="S60" s="79">
        <f t="shared" si="5"/>
        <v>0.91666666666666663</v>
      </c>
      <c r="T60" s="80">
        <f t="shared" si="6"/>
        <v>0</v>
      </c>
      <c r="U60" s="80">
        <f t="shared" si="7"/>
        <v>1</v>
      </c>
      <c r="V60" s="80">
        <f t="shared" si="8"/>
        <v>0</v>
      </c>
      <c r="W60" s="80">
        <f t="shared" si="9"/>
        <v>0</v>
      </c>
      <c r="X60" s="80">
        <f t="shared" si="10"/>
        <v>0</v>
      </c>
      <c r="Y60" s="80">
        <f t="shared" si="11"/>
        <v>0</v>
      </c>
      <c r="Z60" s="80">
        <f t="shared" si="12"/>
        <v>0</v>
      </c>
      <c r="AA60" s="80">
        <f t="shared" si="13"/>
        <v>0</v>
      </c>
      <c r="AB60" s="80">
        <f t="shared" si="14"/>
        <v>0</v>
      </c>
      <c r="AC60" s="80">
        <f t="shared" si="15"/>
        <v>0</v>
      </c>
      <c r="AD60" s="80">
        <f t="shared" si="16"/>
        <v>0</v>
      </c>
      <c r="AE60" s="80">
        <f t="shared" si="17"/>
        <v>0</v>
      </c>
      <c r="AF60" s="80">
        <f t="shared" si="18"/>
        <v>0</v>
      </c>
      <c r="AG60" s="80">
        <f t="shared" si="19"/>
        <v>0</v>
      </c>
      <c r="AH60" s="80">
        <f t="shared" si="20"/>
        <v>0</v>
      </c>
      <c r="AI60" s="80">
        <f t="shared" si="21"/>
        <v>0</v>
      </c>
      <c r="AJ60" s="80">
        <f t="shared" si="22"/>
        <v>0</v>
      </c>
      <c r="AK60" s="80">
        <f t="shared" ref="AK60:BA60" si="110">T60+AK59</f>
        <v>20</v>
      </c>
      <c r="AL60" s="81">
        <f t="shared" si="110"/>
        <v>24</v>
      </c>
      <c r="AM60" s="81">
        <f t="shared" si="110"/>
        <v>0</v>
      </c>
      <c r="AN60" s="81">
        <f t="shared" si="110"/>
        <v>0</v>
      </c>
      <c r="AO60" s="81">
        <f t="shared" si="110"/>
        <v>0</v>
      </c>
      <c r="AP60" s="81">
        <f t="shared" si="110"/>
        <v>0</v>
      </c>
      <c r="AQ60" s="81">
        <f t="shared" si="110"/>
        <v>0</v>
      </c>
      <c r="AR60" s="81">
        <f t="shared" si="110"/>
        <v>0</v>
      </c>
      <c r="AS60" s="81">
        <f t="shared" si="110"/>
        <v>0</v>
      </c>
      <c r="AT60" s="81">
        <f t="shared" si="110"/>
        <v>0</v>
      </c>
      <c r="AU60" s="81">
        <f t="shared" si="110"/>
        <v>0</v>
      </c>
      <c r="AV60" s="81">
        <f t="shared" si="110"/>
        <v>0</v>
      </c>
      <c r="AW60" s="81">
        <f t="shared" si="110"/>
        <v>0</v>
      </c>
      <c r="AX60" s="81">
        <f t="shared" si="110"/>
        <v>0</v>
      </c>
      <c r="AY60" s="81">
        <f t="shared" si="110"/>
        <v>0</v>
      </c>
      <c r="AZ60" s="81">
        <f t="shared" si="110"/>
        <v>0</v>
      </c>
      <c r="BA60" s="82">
        <f t="shared" si="110"/>
        <v>0</v>
      </c>
      <c r="BB60" s="39" t="str">
        <f t="shared" si="24"/>
        <v>Liste 2</v>
      </c>
      <c r="BC60" s="39"/>
      <c r="BD60" s="39"/>
      <c r="BE60" s="39"/>
      <c r="BF60" s="39"/>
      <c r="BG60" s="39"/>
      <c r="BH60" s="39"/>
      <c r="BI60" s="39"/>
      <c r="BJ60" s="39"/>
      <c r="BK60" s="39"/>
      <c r="BL60" s="39"/>
      <c r="BM60" s="39"/>
    </row>
    <row r="61" spans="1:65" ht="16" x14ac:dyDescent="0.2">
      <c r="A61" s="77">
        <v>45</v>
      </c>
      <c r="B61" s="78">
        <f t="shared" ref="B61:R61" si="111">B$12/(AK60+1)</f>
        <v>0.90476190476190477</v>
      </c>
      <c r="C61" s="78">
        <f t="shared" si="111"/>
        <v>0.88</v>
      </c>
      <c r="D61" s="78">
        <f t="shared" si="111"/>
        <v>0</v>
      </c>
      <c r="E61" s="78">
        <f t="shared" si="111"/>
        <v>0</v>
      </c>
      <c r="F61" s="78">
        <f t="shared" si="111"/>
        <v>0</v>
      </c>
      <c r="G61" s="78">
        <f t="shared" si="111"/>
        <v>0</v>
      </c>
      <c r="H61" s="78">
        <f t="shared" si="111"/>
        <v>0</v>
      </c>
      <c r="I61" s="78">
        <f t="shared" si="111"/>
        <v>0</v>
      </c>
      <c r="J61" s="78">
        <f t="shared" si="111"/>
        <v>0</v>
      </c>
      <c r="K61" s="78">
        <f t="shared" si="111"/>
        <v>0</v>
      </c>
      <c r="L61" s="78">
        <f t="shared" si="111"/>
        <v>0</v>
      </c>
      <c r="M61" s="78">
        <f t="shared" si="111"/>
        <v>0</v>
      </c>
      <c r="N61" s="78">
        <f t="shared" si="111"/>
        <v>0</v>
      </c>
      <c r="O61" s="78">
        <f t="shared" si="111"/>
        <v>0</v>
      </c>
      <c r="P61" s="78">
        <f t="shared" si="111"/>
        <v>0</v>
      </c>
      <c r="Q61" s="78">
        <f t="shared" si="111"/>
        <v>0</v>
      </c>
      <c r="R61" s="79">
        <f t="shared" si="111"/>
        <v>0</v>
      </c>
      <c r="S61" s="79">
        <f t="shared" si="5"/>
        <v>0.90476190476190477</v>
      </c>
      <c r="T61" s="80">
        <f t="shared" si="6"/>
        <v>1</v>
      </c>
      <c r="U61" s="80">
        <f t="shared" si="7"/>
        <v>0</v>
      </c>
      <c r="V61" s="80">
        <f t="shared" si="8"/>
        <v>0</v>
      </c>
      <c r="W61" s="80">
        <f t="shared" si="9"/>
        <v>0</v>
      </c>
      <c r="X61" s="80">
        <f t="shared" si="10"/>
        <v>0</v>
      </c>
      <c r="Y61" s="80">
        <f t="shared" si="11"/>
        <v>0</v>
      </c>
      <c r="Z61" s="80">
        <f t="shared" si="12"/>
        <v>0</v>
      </c>
      <c r="AA61" s="80">
        <f t="shared" si="13"/>
        <v>0</v>
      </c>
      <c r="AB61" s="80">
        <f t="shared" si="14"/>
        <v>0</v>
      </c>
      <c r="AC61" s="80">
        <f t="shared" si="15"/>
        <v>0</v>
      </c>
      <c r="AD61" s="80">
        <f t="shared" si="16"/>
        <v>0</v>
      </c>
      <c r="AE61" s="80">
        <f t="shared" si="17"/>
        <v>0</v>
      </c>
      <c r="AF61" s="80">
        <f t="shared" si="18"/>
        <v>0</v>
      </c>
      <c r="AG61" s="80">
        <f t="shared" si="19"/>
        <v>0</v>
      </c>
      <c r="AH61" s="80">
        <f t="shared" si="20"/>
        <v>0</v>
      </c>
      <c r="AI61" s="80">
        <f t="shared" si="21"/>
        <v>0</v>
      </c>
      <c r="AJ61" s="80">
        <f t="shared" si="22"/>
        <v>0</v>
      </c>
      <c r="AK61" s="80">
        <f t="shared" ref="AK61:BA61" si="112">T61+AK60</f>
        <v>21</v>
      </c>
      <c r="AL61" s="81">
        <f t="shared" si="112"/>
        <v>24</v>
      </c>
      <c r="AM61" s="81">
        <f t="shared" si="112"/>
        <v>0</v>
      </c>
      <c r="AN61" s="81">
        <f t="shared" si="112"/>
        <v>0</v>
      </c>
      <c r="AO61" s="81">
        <f t="shared" si="112"/>
        <v>0</v>
      </c>
      <c r="AP61" s="81">
        <f t="shared" si="112"/>
        <v>0</v>
      </c>
      <c r="AQ61" s="81">
        <f t="shared" si="112"/>
        <v>0</v>
      </c>
      <c r="AR61" s="81">
        <f t="shared" si="112"/>
        <v>0</v>
      </c>
      <c r="AS61" s="81">
        <f t="shared" si="112"/>
        <v>0</v>
      </c>
      <c r="AT61" s="81">
        <f t="shared" si="112"/>
        <v>0</v>
      </c>
      <c r="AU61" s="81">
        <f t="shared" si="112"/>
        <v>0</v>
      </c>
      <c r="AV61" s="81">
        <f t="shared" si="112"/>
        <v>0</v>
      </c>
      <c r="AW61" s="81">
        <f t="shared" si="112"/>
        <v>0</v>
      </c>
      <c r="AX61" s="81">
        <f t="shared" si="112"/>
        <v>0</v>
      </c>
      <c r="AY61" s="81">
        <f t="shared" si="112"/>
        <v>0</v>
      </c>
      <c r="AZ61" s="81">
        <f t="shared" si="112"/>
        <v>0</v>
      </c>
      <c r="BA61" s="82">
        <f t="shared" si="112"/>
        <v>0</v>
      </c>
      <c r="BB61" s="39" t="str">
        <f t="shared" si="24"/>
        <v>Liste 1</v>
      </c>
      <c r="BC61" s="39"/>
      <c r="BD61" s="39"/>
      <c r="BE61" s="39"/>
      <c r="BF61" s="39"/>
      <c r="BG61" s="39"/>
      <c r="BH61" s="39"/>
      <c r="BI61" s="39"/>
      <c r="BJ61" s="39"/>
      <c r="BK61" s="39"/>
      <c r="BL61" s="39"/>
      <c r="BM61" s="39"/>
    </row>
    <row r="62" spans="1:65" ht="16" x14ac:dyDescent="0.2">
      <c r="A62" s="77">
        <v>46</v>
      </c>
      <c r="B62" s="78">
        <f t="shared" ref="B62:R62" si="113">B$12/(AK61+1)</f>
        <v>0.86363636363636365</v>
      </c>
      <c r="C62" s="78">
        <f t="shared" si="113"/>
        <v>0.88</v>
      </c>
      <c r="D62" s="78">
        <f t="shared" si="113"/>
        <v>0</v>
      </c>
      <c r="E62" s="78">
        <f t="shared" si="113"/>
        <v>0</v>
      </c>
      <c r="F62" s="78">
        <f t="shared" si="113"/>
        <v>0</v>
      </c>
      <c r="G62" s="78">
        <f t="shared" si="113"/>
        <v>0</v>
      </c>
      <c r="H62" s="78">
        <f t="shared" si="113"/>
        <v>0</v>
      </c>
      <c r="I62" s="78">
        <f t="shared" si="113"/>
        <v>0</v>
      </c>
      <c r="J62" s="78">
        <f t="shared" si="113"/>
        <v>0</v>
      </c>
      <c r="K62" s="78">
        <f t="shared" si="113"/>
        <v>0</v>
      </c>
      <c r="L62" s="78">
        <f t="shared" si="113"/>
        <v>0</v>
      </c>
      <c r="M62" s="78">
        <f t="shared" si="113"/>
        <v>0</v>
      </c>
      <c r="N62" s="78">
        <f t="shared" si="113"/>
        <v>0</v>
      </c>
      <c r="O62" s="78">
        <f t="shared" si="113"/>
        <v>0</v>
      </c>
      <c r="P62" s="78">
        <f t="shared" si="113"/>
        <v>0</v>
      </c>
      <c r="Q62" s="78">
        <f t="shared" si="113"/>
        <v>0</v>
      </c>
      <c r="R62" s="79">
        <f t="shared" si="113"/>
        <v>0</v>
      </c>
      <c r="S62" s="79">
        <f t="shared" si="5"/>
        <v>0.88</v>
      </c>
      <c r="T62" s="80">
        <f t="shared" si="6"/>
        <v>0</v>
      </c>
      <c r="U62" s="80">
        <f t="shared" si="7"/>
        <v>1</v>
      </c>
      <c r="V62" s="80">
        <f t="shared" si="8"/>
        <v>0</v>
      </c>
      <c r="W62" s="80">
        <f t="shared" si="9"/>
        <v>0</v>
      </c>
      <c r="X62" s="80">
        <f t="shared" si="10"/>
        <v>0</v>
      </c>
      <c r="Y62" s="80">
        <f t="shared" si="11"/>
        <v>0</v>
      </c>
      <c r="Z62" s="80">
        <f t="shared" si="12"/>
        <v>0</v>
      </c>
      <c r="AA62" s="80">
        <f t="shared" si="13"/>
        <v>0</v>
      </c>
      <c r="AB62" s="80">
        <f t="shared" si="14"/>
        <v>0</v>
      </c>
      <c r="AC62" s="80">
        <f t="shared" si="15"/>
        <v>0</v>
      </c>
      <c r="AD62" s="80">
        <f t="shared" si="16"/>
        <v>0</v>
      </c>
      <c r="AE62" s="80">
        <f t="shared" si="17"/>
        <v>0</v>
      </c>
      <c r="AF62" s="80">
        <f t="shared" si="18"/>
        <v>0</v>
      </c>
      <c r="AG62" s="80">
        <f t="shared" si="19"/>
        <v>0</v>
      </c>
      <c r="AH62" s="80">
        <f t="shared" si="20"/>
        <v>0</v>
      </c>
      <c r="AI62" s="80">
        <f t="shared" si="21"/>
        <v>0</v>
      </c>
      <c r="AJ62" s="80">
        <f t="shared" si="22"/>
        <v>0</v>
      </c>
      <c r="AK62" s="80">
        <f t="shared" ref="AK62:BA62" si="114">T62+AK61</f>
        <v>21</v>
      </c>
      <c r="AL62" s="81">
        <f t="shared" si="114"/>
        <v>25</v>
      </c>
      <c r="AM62" s="81">
        <f t="shared" si="114"/>
        <v>0</v>
      </c>
      <c r="AN62" s="81">
        <f t="shared" si="114"/>
        <v>0</v>
      </c>
      <c r="AO62" s="81">
        <f t="shared" si="114"/>
        <v>0</v>
      </c>
      <c r="AP62" s="81">
        <f t="shared" si="114"/>
        <v>0</v>
      </c>
      <c r="AQ62" s="81">
        <f t="shared" si="114"/>
        <v>0</v>
      </c>
      <c r="AR62" s="81">
        <f t="shared" si="114"/>
        <v>0</v>
      </c>
      <c r="AS62" s="81">
        <f t="shared" si="114"/>
        <v>0</v>
      </c>
      <c r="AT62" s="81">
        <f t="shared" si="114"/>
        <v>0</v>
      </c>
      <c r="AU62" s="81">
        <f t="shared" si="114"/>
        <v>0</v>
      </c>
      <c r="AV62" s="81">
        <f t="shared" si="114"/>
        <v>0</v>
      </c>
      <c r="AW62" s="81">
        <f t="shared" si="114"/>
        <v>0</v>
      </c>
      <c r="AX62" s="81">
        <f t="shared" si="114"/>
        <v>0</v>
      </c>
      <c r="AY62" s="81">
        <f t="shared" si="114"/>
        <v>0</v>
      </c>
      <c r="AZ62" s="81">
        <f t="shared" si="114"/>
        <v>0</v>
      </c>
      <c r="BA62" s="82">
        <f t="shared" si="114"/>
        <v>0</v>
      </c>
      <c r="BB62" s="39" t="str">
        <f t="shared" si="24"/>
        <v>Liste 2</v>
      </c>
      <c r="BC62" s="39"/>
      <c r="BD62" s="39"/>
      <c r="BE62" s="39"/>
      <c r="BF62" s="39"/>
      <c r="BG62" s="39"/>
      <c r="BH62" s="39"/>
      <c r="BI62" s="39"/>
      <c r="BJ62" s="39"/>
      <c r="BK62" s="39"/>
      <c r="BL62" s="39"/>
      <c r="BM62" s="39"/>
    </row>
    <row r="63" spans="1:65" ht="16" x14ac:dyDescent="0.2">
      <c r="A63" s="77">
        <v>47</v>
      </c>
      <c r="B63" s="78">
        <f t="shared" ref="B63:R63" si="115">B$12/(AK62+1)</f>
        <v>0.86363636363636365</v>
      </c>
      <c r="C63" s="78">
        <f t="shared" si="115"/>
        <v>0.84615384615384615</v>
      </c>
      <c r="D63" s="78">
        <f t="shared" si="115"/>
        <v>0</v>
      </c>
      <c r="E63" s="78">
        <f t="shared" si="115"/>
        <v>0</v>
      </c>
      <c r="F63" s="78">
        <f t="shared" si="115"/>
        <v>0</v>
      </c>
      <c r="G63" s="78">
        <f t="shared" si="115"/>
        <v>0</v>
      </c>
      <c r="H63" s="78">
        <f t="shared" si="115"/>
        <v>0</v>
      </c>
      <c r="I63" s="78">
        <f t="shared" si="115"/>
        <v>0</v>
      </c>
      <c r="J63" s="78">
        <f t="shared" si="115"/>
        <v>0</v>
      </c>
      <c r="K63" s="78">
        <f t="shared" si="115"/>
        <v>0</v>
      </c>
      <c r="L63" s="78">
        <f t="shared" si="115"/>
        <v>0</v>
      </c>
      <c r="M63" s="78">
        <f t="shared" si="115"/>
        <v>0</v>
      </c>
      <c r="N63" s="78">
        <f t="shared" si="115"/>
        <v>0</v>
      </c>
      <c r="O63" s="78">
        <f t="shared" si="115"/>
        <v>0</v>
      </c>
      <c r="P63" s="78">
        <f t="shared" si="115"/>
        <v>0</v>
      </c>
      <c r="Q63" s="78">
        <f t="shared" si="115"/>
        <v>0</v>
      </c>
      <c r="R63" s="79">
        <f t="shared" si="115"/>
        <v>0</v>
      </c>
      <c r="S63" s="79">
        <f t="shared" si="5"/>
        <v>0.86363636363636365</v>
      </c>
      <c r="T63" s="80">
        <f t="shared" si="6"/>
        <v>1</v>
      </c>
      <c r="U63" s="80">
        <f t="shared" si="7"/>
        <v>0</v>
      </c>
      <c r="V63" s="80">
        <f t="shared" si="8"/>
        <v>0</v>
      </c>
      <c r="W63" s="80">
        <f t="shared" si="9"/>
        <v>0</v>
      </c>
      <c r="X63" s="80">
        <f t="shared" si="10"/>
        <v>0</v>
      </c>
      <c r="Y63" s="80">
        <f t="shared" si="11"/>
        <v>0</v>
      </c>
      <c r="Z63" s="80">
        <f t="shared" si="12"/>
        <v>0</v>
      </c>
      <c r="AA63" s="80">
        <f t="shared" si="13"/>
        <v>0</v>
      </c>
      <c r="AB63" s="80">
        <f t="shared" si="14"/>
        <v>0</v>
      </c>
      <c r="AC63" s="80">
        <f t="shared" si="15"/>
        <v>0</v>
      </c>
      <c r="AD63" s="80">
        <f t="shared" si="16"/>
        <v>0</v>
      </c>
      <c r="AE63" s="80">
        <f t="shared" si="17"/>
        <v>0</v>
      </c>
      <c r="AF63" s="80">
        <f t="shared" si="18"/>
        <v>0</v>
      </c>
      <c r="AG63" s="80">
        <f t="shared" si="19"/>
        <v>0</v>
      </c>
      <c r="AH63" s="80">
        <f t="shared" si="20"/>
        <v>0</v>
      </c>
      <c r="AI63" s="80">
        <f t="shared" si="21"/>
        <v>0</v>
      </c>
      <c r="AJ63" s="80">
        <f t="shared" si="22"/>
        <v>0</v>
      </c>
      <c r="AK63" s="80">
        <f t="shared" ref="AK63:BA63" si="116">T63+AK62</f>
        <v>22</v>
      </c>
      <c r="AL63" s="81">
        <f t="shared" si="116"/>
        <v>25</v>
      </c>
      <c r="AM63" s="81">
        <f t="shared" si="116"/>
        <v>0</v>
      </c>
      <c r="AN63" s="81">
        <f t="shared" si="116"/>
        <v>0</v>
      </c>
      <c r="AO63" s="81">
        <f t="shared" si="116"/>
        <v>0</v>
      </c>
      <c r="AP63" s="81">
        <f t="shared" si="116"/>
        <v>0</v>
      </c>
      <c r="AQ63" s="81">
        <f t="shared" si="116"/>
        <v>0</v>
      </c>
      <c r="AR63" s="81">
        <f t="shared" si="116"/>
        <v>0</v>
      </c>
      <c r="AS63" s="81">
        <f t="shared" si="116"/>
        <v>0</v>
      </c>
      <c r="AT63" s="81">
        <f t="shared" si="116"/>
        <v>0</v>
      </c>
      <c r="AU63" s="81">
        <f t="shared" si="116"/>
        <v>0</v>
      </c>
      <c r="AV63" s="81">
        <f t="shared" si="116"/>
        <v>0</v>
      </c>
      <c r="AW63" s="81">
        <f t="shared" si="116"/>
        <v>0</v>
      </c>
      <c r="AX63" s="81">
        <f t="shared" si="116"/>
        <v>0</v>
      </c>
      <c r="AY63" s="81">
        <f t="shared" si="116"/>
        <v>0</v>
      </c>
      <c r="AZ63" s="81">
        <f t="shared" si="116"/>
        <v>0</v>
      </c>
      <c r="BA63" s="82">
        <f t="shared" si="116"/>
        <v>0</v>
      </c>
      <c r="BB63" s="39" t="str">
        <f t="shared" si="24"/>
        <v>Liste 1</v>
      </c>
      <c r="BC63" s="39"/>
      <c r="BD63" s="39"/>
      <c r="BE63" s="39"/>
      <c r="BF63" s="39"/>
      <c r="BG63" s="39"/>
      <c r="BH63" s="39"/>
      <c r="BI63" s="39"/>
      <c r="BJ63" s="39"/>
      <c r="BK63" s="39"/>
      <c r="BL63" s="39"/>
      <c r="BM63" s="39"/>
    </row>
    <row r="64" spans="1:65" ht="16" x14ac:dyDescent="0.2">
      <c r="A64" s="77">
        <v>48</v>
      </c>
      <c r="B64" s="78">
        <f t="shared" ref="B64:R64" si="117">B$12/(AK63+1)</f>
        <v>0.82608695652173914</v>
      </c>
      <c r="C64" s="78">
        <f t="shared" si="117"/>
        <v>0.84615384615384615</v>
      </c>
      <c r="D64" s="78">
        <f t="shared" si="117"/>
        <v>0</v>
      </c>
      <c r="E64" s="78">
        <f t="shared" si="117"/>
        <v>0</v>
      </c>
      <c r="F64" s="78">
        <f t="shared" si="117"/>
        <v>0</v>
      </c>
      <c r="G64" s="78">
        <f t="shared" si="117"/>
        <v>0</v>
      </c>
      <c r="H64" s="78">
        <f t="shared" si="117"/>
        <v>0</v>
      </c>
      <c r="I64" s="78">
        <f t="shared" si="117"/>
        <v>0</v>
      </c>
      <c r="J64" s="78">
        <f t="shared" si="117"/>
        <v>0</v>
      </c>
      <c r="K64" s="78">
        <f t="shared" si="117"/>
        <v>0</v>
      </c>
      <c r="L64" s="78">
        <f t="shared" si="117"/>
        <v>0</v>
      </c>
      <c r="M64" s="78">
        <f t="shared" si="117"/>
        <v>0</v>
      </c>
      <c r="N64" s="78">
        <f t="shared" si="117"/>
        <v>0</v>
      </c>
      <c r="O64" s="78">
        <f t="shared" si="117"/>
        <v>0</v>
      </c>
      <c r="P64" s="78">
        <f t="shared" si="117"/>
        <v>0</v>
      </c>
      <c r="Q64" s="78">
        <f t="shared" si="117"/>
        <v>0</v>
      </c>
      <c r="R64" s="79">
        <f t="shared" si="117"/>
        <v>0</v>
      </c>
      <c r="S64" s="79">
        <f t="shared" si="5"/>
        <v>0.84615384615384615</v>
      </c>
      <c r="T64" s="80">
        <f t="shared" si="6"/>
        <v>0</v>
      </c>
      <c r="U64" s="80">
        <f t="shared" si="7"/>
        <v>1</v>
      </c>
      <c r="V64" s="80">
        <f t="shared" si="8"/>
        <v>0</v>
      </c>
      <c r="W64" s="80">
        <f t="shared" si="9"/>
        <v>0</v>
      </c>
      <c r="X64" s="80">
        <f t="shared" si="10"/>
        <v>0</v>
      </c>
      <c r="Y64" s="80">
        <f t="shared" si="11"/>
        <v>0</v>
      </c>
      <c r="Z64" s="80">
        <f t="shared" si="12"/>
        <v>0</v>
      </c>
      <c r="AA64" s="80">
        <f t="shared" si="13"/>
        <v>0</v>
      </c>
      <c r="AB64" s="80">
        <f t="shared" si="14"/>
        <v>0</v>
      </c>
      <c r="AC64" s="80">
        <f t="shared" si="15"/>
        <v>0</v>
      </c>
      <c r="AD64" s="80">
        <f t="shared" si="16"/>
        <v>0</v>
      </c>
      <c r="AE64" s="80">
        <f t="shared" si="17"/>
        <v>0</v>
      </c>
      <c r="AF64" s="80">
        <f t="shared" si="18"/>
        <v>0</v>
      </c>
      <c r="AG64" s="80">
        <f t="shared" si="19"/>
        <v>0</v>
      </c>
      <c r="AH64" s="80">
        <f t="shared" si="20"/>
        <v>0</v>
      </c>
      <c r="AI64" s="80">
        <f t="shared" si="21"/>
        <v>0</v>
      </c>
      <c r="AJ64" s="80">
        <f t="shared" si="22"/>
        <v>0</v>
      </c>
      <c r="AK64" s="80">
        <f t="shared" ref="AK64:BA64" si="118">T64+AK63</f>
        <v>22</v>
      </c>
      <c r="AL64" s="81">
        <f t="shared" si="118"/>
        <v>26</v>
      </c>
      <c r="AM64" s="81">
        <f t="shared" si="118"/>
        <v>0</v>
      </c>
      <c r="AN64" s="81">
        <f t="shared" si="118"/>
        <v>0</v>
      </c>
      <c r="AO64" s="81">
        <f t="shared" si="118"/>
        <v>0</v>
      </c>
      <c r="AP64" s="81">
        <f t="shared" si="118"/>
        <v>0</v>
      </c>
      <c r="AQ64" s="81">
        <f t="shared" si="118"/>
        <v>0</v>
      </c>
      <c r="AR64" s="81">
        <f t="shared" si="118"/>
        <v>0</v>
      </c>
      <c r="AS64" s="81">
        <f t="shared" si="118"/>
        <v>0</v>
      </c>
      <c r="AT64" s="81">
        <f t="shared" si="118"/>
        <v>0</v>
      </c>
      <c r="AU64" s="81">
        <f t="shared" si="118"/>
        <v>0</v>
      </c>
      <c r="AV64" s="81">
        <f t="shared" si="118"/>
        <v>0</v>
      </c>
      <c r="AW64" s="81">
        <f t="shared" si="118"/>
        <v>0</v>
      </c>
      <c r="AX64" s="81">
        <f t="shared" si="118"/>
        <v>0</v>
      </c>
      <c r="AY64" s="81">
        <f t="shared" si="118"/>
        <v>0</v>
      </c>
      <c r="AZ64" s="81">
        <f t="shared" si="118"/>
        <v>0</v>
      </c>
      <c r="BA64" s="82">
        <f t="shared" si="118"/>
        <v>0</v>
      </c>
      <c r="BB64" s="39" t="str">
        <f t="shared" si="24"/>
        <v>Liste 2</v>
      </c>
      <c r="BC64" s="39"/>
      <c r="BD64" s="39"/>
      <c r="BE64" s="39"/>
      <c r="BF64" s="39"/>
      <c r="BG64" s="39"/>
      <c r="BH64" s="39"/>
      <c r="BI64" s="39"/>
      <c r="BJ64" s="39"/>
      <c r="BK64" s="39"/>
      <c r="BL64" s="39"/>
      <c r="BM64" s="39"/>
    </row>
    <row r="65" spans="1:65" ht="16" x14ac:dyDescent="0.2">
      <c r="A65" s="77">
        <v>49</v>
      </c>
      <c r="B65" s="78">
        <f t="shared" ref="B65:R65" si="119">B$12/(AK64+1)</f>
        <v>0.82608695652173914</v>
      </c>
      <c r="C65" s="78">
        <f t="shared" si="119"/>
        <v>0.81481481481481477</v>
      </c>
      <c r="D65" s="78">
        <f t="shared" si="119"/>
        <v>0</v>
      </c>
      <c r="E65" s="78">
        <f t="shared" si="119"/>
        <v>0</v>
      </c>
      <c r="F65" s="78">
        <f t="shared" si="119"/>
        <v>0</v>
      </c>
      <c r="G65" s="78">
        <f t="shared" si="119"/>
        <v>0</v>
      </c>
      <c r="H65" s="78">
        <f t="shared" si="119"/>
        <v>0</v>
      </c>
      <c r="I65" s="78">
        <f t="shared" si="119"/>
        <v>0</v>
      </c>
      <c r="J65" s="78">
        <f t="shared" si="119"/>
        <v>0</v>
      </c>
      <c r="K65" s="78">
        <f t="shared" si="119"/>
        <v>0</v>
      </c>
      <c r="L65" s="78">
        <f t="shared" si="119"/>
        <v>0</v>
      </c>
      <c r="M65" s="78">
        <f t="shared" si="119"/>
        <v>0</v>
      </c>
      <c r="N65" s="78">
        <f t="shared" si="119"/>
        <v>0</v>
      </c>
      <c r="O65" s="78">
        <f t="shared" si="119"/>
        <v>0</v>
      </c>
      <c r="P65" s="78">
        <f t="shared" si="119"/>
        <v>0</v>
      </c>
      <c r="Q65" s="78">
        <f t="shared" si="119"/>
        <v>0</v>
      </c>
      <c r="R65" s="79">
        <f t="shared" si="119"/>
        <v>0</v>
      </c>
      <c r="S65" s="79">
        <f t="shared" si="5"/>
        <v>0.82608695652173914</v>
      </c>
      <c r="T65" s="80">
        <f t="shared" si="6"/>
        <v>1</v>
      </c>
      <c r="U65" s="80">
        <f t="shared" si="7"/>
        <v>0</v>
      </c>
      <c r="V65" s="80">
        <f t="shared" si="8"/>
        <v>0</v>
      </c>
      <c r="W65" s="80">
        <f t="shared" si="9"/>
        <v>0</v>
      </c>
      <c r="X65" s="80">
        <f t="shared" si="10"/>
        <v>0</v>
      </c>
      <c r="Y65" s="80">
        <f t="shared" si="11"/>
        <v>0</v>
      </c>
      <c r="Z65" s="80">
        <f t="shared" si="12"/>
        <v>0</v>
      </c>
      <c r="AA65" s="80">
        <f t="shared" si="13"/>
        <v>0</v>
      </c>
      <c r="AB65" s="80">
        <f t="shared" si="14"/>
        <v>0</v>
      </c>
      <c r="AC65" s="80">
        <f t="shared" si="15"/>
        <v>0</v>
      </c>
      <c r="AD65" s="80">
        <f t="shared" si="16"/>
        <v>0</v>
      </c>
      <c r="AE65" s="80">
        <f t="shared" si="17"/>
        <v>0</v>
      </c>
      <c r="AF65" s="80">
        <f t="shared" si="18"/>
        <v>0</v>
      </c>
      <c r="AG65" s="80">
        <f t="shared" si="19"/>
        <v>0</v>
      </c>
      <c r="AH65" s="80">
        <f t="shared" si="20"/>
        <v>0</v>
      </c>
      <c r="AI65" s="80">
        <f t="shared" si="21"/>
        <v>0</v>
      </c>
      <c r="AJ65" s="80">
        <f t="shared" si="22"/>
        <v>0</v>
      </c>
      <c r="AK65" s="80">
        <f t="shared" ref="AK65:BA65" si="120">T65+AK64</f>
        <v>23</v>
      </c>
      <c r="AL65" s="81">
        <f t="shared" si="120"/>
        <v>26</v>
      </c>
      <c r="AM65" s="81">
        <f t="shared" si="120"/>
        <v>0</v>
      </c>
      <c r="AN65" s="81">
        <f t="shared" si="120"/>
        <v>0</v>
      </c>
      <c r="AO65" s="81">
        <f t="shared" si="120"/>
        <v>0</v>
      </c>
      <c r="AP65" s="81">
        <f t="shared" si="120"/>
        <v>0</v>
      </c>
      <c r="AQ65" s="81">
        <f t="shared" si="120"/>
        <v>0</v>
      </c>
      <c r="AR65" s="81">
        <f t="shared" si="120"/>
        <v>0</v>
      </c>
      <c r="AS65" s="81">
        <f t="shared" si="120"/>
        <v>0</v>
      </c>
      <c r="AT65" s="81">
        <f t="shared" si="120"/>
        <v>0</v>
      </c>
      <c r="AU65" s="81">
        <f t="shared" si="120"/>
        <v>0</v>
      </c>
      <c r="AV65" s="81">
        <f t="shared" si="120"/>
        <v>0</v>
      </c>
      <c r="AW65" s="81">
        <f t="shared" si="120"/>
        <v>0</v>
      </c>
      <c r="AX65" s="81">
        <f t="shared" si="120"/>
        <v>0</v>
      </c>
      <c r="AY65" s="81">
        <f t="shared" si="120"/>
        <v>0</v>
      </c>
      <c r="AZ65" s="81">
        <f t="shared" si="120"/>
        <v>0</v>
      </c>
      <c r="BA65" s="82">
        <f t="shared" si="120"/>
        <v>0</v>
      </c>
      <c r="BB65" s="39" t="str">
        <f t="shared" si="24"/>
        <v>Liste 1</v>
      </c>
      <c r="BC65" s="39"/>
      <c r="BD65" s="39"/>
      <c r="BE65" s="39"/>
      <c r="BF65" s="39"/>
      <c r="BG65" s="39"/>
      <c r="BH65" s="39"/>
      <c r="BI65" s="39"/>
      <c r="BJ65" s="39"/>
      <c r="BK65" s="39"/>
      <c r="BL65" s="39"/>
      <c r="BM65" s="39"/>
    </row>
    <row r="66" spans="1:65" ht="16" x14ac:dyDescent="0.2">
      <c r="A66" s="77">
        <v>50</v>
      </c>
      <c r="B66" s="78">
        <f t="shared" ref="B66:R66" si="121">B$12/(AK65+1)</f>
        <v>0.79166666666666663</v>
      </c>
      <c r="C66" s="78">
        <f t="shared" si="121"/>
        <v>0.81481481481481477</v>
      </c>
      <c r="D66" s="78">
        <f t="shared" si="121"/>
        <v>0</v>
      </c>
      <c r="E66" s="78">
        <f t="shared" si="121"/>
        <v>0</v>
      </c>
      <c r="F66" s="78">
        <f t="shared" si="121"/>
        <v>0</v>
      </c>
      <c r="G66" s="78">
        <f t="shared" si="121"/>
        <v>0</v>
      </c>
      <c r="H66" s="78">
        <f t="shared" si="121"/>
        <v>0</v>
      </c>
      <c r="I66" s="78">
        <f t="shared" si="121"/>
        <v>0</v>
      </c>
      <c r="J66" s="78">
        <f t="shared" si="121"/>
        <v>0</v>
      </c>
      <c r="K66" s="78">
        <f t="shared" si="121"/>
        <v>0</v>
      </c>
      <c r="L66" s="78">
        <f t="shared" si="121"/>
        <v>0</v>
      </c>
      <c r="M66" s="78">
        <f t="shared" si="121"/>
        <v>0</v>
      </c>
      <c r="N66" s="78">
        <f t="shared" si="121"/>
        <v>0</v>
      </c>
      <c r="O66" s="78">
        <f t="shared" si="121"/>
        <v>0</v>
      </c>
      <c r="P66" s="78">
        <f t="shared" si="121"/>
        <v>0</v>
      </c>
      <c r="Q66" s="78">
        <f t="shared" si="121"/>
        <v>0</v>
      </c>
      <c r="R66" s="79">
        <f t="shared" si="121"/>
        <v>0</v>
      </c>
      <c r="S66" s="79">
        <f t="shared" si="5"/>
        <v>0.81481481481481477</v>
      </c>
      <c r="T66" s="80">
        <f t="shared" si="6"/>
        <v>0</v>
      </c>
      <c r="U66" s="80">
        <f t="shared" si="7"/>
        <v>1</v>
      </c>
      <c r="V66" s="80">
        <f t="shared" si="8"/>
        <v>0</v>
      </c>
      <c r="W66" s="80">
        <f t="shared" si="9"/>
        <v>0</v>
      </c>
      <c r="X66" s="80">
        <f t="shared" si="10"/>
        <v>0</v>
      </c>
      <c r="Y66" s="80">
        <f t="shared" si="11"/>
        <v>0</v>
      </c>
      <c r="Z66" s="80">
        <f t="shared" si="12"/>
        <v>0</v>
      </c>
      <c r="AA66" s="80">
        <f t="shared" si="13"/>
        <v>0</v>
      </c>
      <c r="AB66" s="80">
        <f t="shared" si="14"/>
        <v>0</v>
      </c>
      <c r="AC66" s="80">
        <f t="shared" si="15"/>
        <v>0</v>
      </c>
      <c r="AD66" s="80">
        <f t="shared" si="16"/>
        <v>0</v>
      </c>
      <c r="AE66" s="80">
        <f t="shared" si="17"/>
        <v>0</v>
      </c>
      <c r="AF66" s="80">
        <f t="shared" si="18"/>
        <v>0</v>
      </c>
      <c r="AG66" s="80">
        <f t="shared" si="19"/>
        <v>0</v>
      </c>
      <c r="AH66" s="80">
        <f t="shared" si="20"/>
        <v>0</v>
      </c>
      <c r="AI66" s="80">
        <f t="shared" si="21"/>
        <v>0</v>
      </c>
      <c r="AJ66" s="80">
        <f t="shared" si="22"/>
        <v>0</v>
      </c>
      <c r="AK66" s="80">
        <f t="shared" ref="AK66:BA66" si="122">T66+AK65</f>
        <v>23</v>
      </c>
      <c r="AL66" s="81">
        <f t="shared" si="122"/>
        <v>27</v>
      </c>
      <c r="AM66" s="81">
        <f t="shared" si="122"/>
        <v>0</v>
      </c>
      <c r="AN66" s="81">
        <f t="shared" si="122"/>
        <v>0</v>
      </c>
      <c r="AO66" s="81">
        <f t="shared" si="122"/>
        <v>0</v>
      </c>
      <c r="AP66" s="81">
        <f t="shared" si="122"/>
        <v>0</v>
      </c>
      <c r="AQ66" s="81">
        <f t="shared" si="122"/>
        <v>0</v>
      </c>
      <c r="AR66" s="81">
        <f t="shared" si="122"/>
        <v>0</v>
      </c>
      <c r="AS66" s="81">
        <f t="shared" si="122"/>
        <v>0</v>
      </c>
      <c r="AT66" s="81">
        <f t="shared" si="122"/>
        <v>0</v>
      </c>
      <c r="AU66" s="81">
        <f t="shared" si="122"/>
        <v>0</v>
      </c>
      <c r="AV66" s="81">
        <f t="shared" si="122"/>
        <v>0</v>
      </c>
      <c r="AW66" s="81">
        <f t="shared" si="122"/>
        <v>0</v>
      </c>
      <c r="AX66" s="81">
        <f t="shared" si="122"/>
        <v>0</v>
      </c>
      <c r="AY66" s="81">
        <f t="shared" si="122"/>
        <v>0</v>
      </c>
      <c r="AZ66" s="81">
        <f t="shared" si="122"/>
        <v>0</v>
      </c>
      <c r="BA66" s="82">
        <f t="shared" si="122"/>
        <v>0</v>
      </c>
      <c r="BB66" s="39" t="str">
        <f t="shared" si="24"/>
        <v>Liste 2</v>
      </c>
      <c r="BC66" s="39"/>
      <c r="BD66" s="39"/>
      <c r="BE66" s="39"/>
      <c r="BF66" s="39"/>
      <c r="BG66" s="39"/>
      <c r="BH66" s="39"/>
      <c r="BI66" s="39"/>
      <c r="BJ66" s="39"/>
      <c r="BK66" s="39"/>
      <c r="BL66" s="39"/>
      <c r="BM66" s="39"/>
    </row>
    <row r="67" spans="1:65" ht="16" x14ac:dyDescent="0.2">
      <c r="A67" s="77">
        <v>51</v>
      </c>
      <c r="B67" s="78">
        <f t="shared" ref="B67:R67" si="123">B$12/(AK66+1)</f>
        <v>0.79166666666666663</v>
      </c>
      <c r="C67" s="78">
        <f t="shared" si="123"/>
        <v>0.7857142857142857</v>
      </c>
      <c r="D67" s="78">
        <f t="shared" si="123"/>
        <v>0</v>
      </c>
      <c r="E67" s="78">
        <f t="shared" si="123"/>
        <v>0</v>
      </c>
      <c r="F67" s="78">
        <f t="shared" si="123"/>
        <v>0</v>
      </c>
      <c r="G67" s="78">
        <f t="shared" si="123"/>
        <v>0</v>
      </c>
      <c r="H67" s="78">
        <f t="shared" si="123"/>
        <v>0</v>
      </c>
      <c r="I67" s="78">
        <f t="shared" si="123"/>
        <v>0</v>
      </c>
      <c r="J67" s="78">
        <f t="shared" si="123"/>
        <v>0</v>
      </c>
      <c r="K67" s="78">
        <f t="shared" si="123"/>
        <v>0</v>
      </c>
      <c r="L67" s="78">
        <f t="shared" si="123"/>
        <v>0</v>
      </c>
      <c r="M67" s="78">
        <f t="shared" si="123"/>
        <v>0</v>
      </c>
      <c r="N67" s="78">
        <f t="shared" si="123"/>
        <v>0</v>
      </c>
      <c r="O67" s="78">
        <f t="shared" si="123"/>
        <v>0</v>
      </c>
      <c r="P67" s="78">
        <f t="shared" si="123"/>
        <v>0</v>
      </c>
      <c r="Q67" s="78">
        <f t="shared" si="123"/>
        <v>0</v>
      </c>
      <c r="R67" s="79">
        <f t="shared" si="123"/>
        <v>0</v>
      </c>
      <c r="S67" s="79">
        <f t="shared" si="5"/>
        <v>0.79166666666666663</v>
      </c>
      <c r="T67" s="80">
        <f t="shared" si="6"/>
        <v>1</v>
      </c>
      <c r="U67" s="80">
        <f t="shared" si="7"/>
        <v>0</v>
      </c>
      <c r="V67" s="80">
        <f t="shared" si="8"/>
        <v>0</v>
      </c>
      <c r="W67" s="80">
        <f t="shared" si="9"/>
        <v>0</v>
      </c>
      <c r="X67" s="80">
        <f t="shared" si="10"/>
        <v>0</v>
      </c>
      <c r="Y67" s="80">
        <f t="shared" si="11"/>
        <v>0</v>
      </c>
      <c r="Z67" s="80">
        <f t="shared" si="12"/>
        <v>0</v>
      </c>
      <c r="AA67" s="80">
        <f t="shared" si="13"/>
        <v>0</v>
      </c>
      <c r="AB67" s="80">
        <f t="shared" si="14"/>
        <v>0</v>
      </c>
      <c r="AC67" s="80">
        <f t="shared" si="15"/>
        <v>0</v>
      </c>
      <c r="AD67" s="80">
        <f t="shared" si="16"/>
        <v>0</v>
      </c>
      <c r="AE67" s="80">
        <f t="shared" si="17"/>
        <v>0</v>
      </c>
      <c r="AF67" s="80">
        <f t="shared" si="18"/>
        <v>0</v>
      </c>
      <c r="AG67" s="80">
        <f t="shared" si="19"/>
        <v>0</v>
      </c>
      <c r="AH67" s="80">
        <f t="shared" si="20"/>
        <v>0</v>
      </c>
      <c r="AI67" s="80">
        <f t="shared" si="21"/>
        <v>0</v>
      </c>
      <c r="AJ67" s="80">
        <f t="shared" si="22"/>
        <v>0</v>
      </c>
      <c r="AK67" s="80">
        <f t="shared" ref="AK67:BA67" si="124">T67+AK66</f>
        <v>24</v>
      </c>
      <c r="AL67" s="81">
        <f t="shared" si="124"/>
        <v>27</v>
      </c>
      <c r="AM67" s="81">
        <f t="shared" si="124"/>
        <v>0</v>
      </c>
      <c r="AN67" s="81">
        <f t="shared" si="124"/>
        <v>0</v>
      </c>
      <c r="AO67" s="81">
        <f t="shared" si="124"/>
        <v>0</v>
      </c>
      <c r="AP67" s="81">
        <f t="shared" si="124"/>
        <v>0</v>
      </c>
      <c r="AQ67" s="81">
        <f t="shared" si="124"/>
        <v>0</v>
      </c>
      <c r="AR67" s="81">
        <f t="shared" si="124"/>
        <v>0</v>
      </c>
      <c r="AS67" s="81">
        <f t="shared" si="124"/>
        <v>0</v>
      </c>
      <c r="AT67" s="81">
        <f t="shared" si="124"/>
        <v>0</v>
      </c>
      <c r="AU67" s="81">
        <f t="shared" si="124"/>
        <v>0</v>
      </c>
      <c r="AV67" s="81">
        <f t="shared" si="124"/>
        <v>0</v>
      </c>
      <c r="AW67" s="81">
        <f t="shared" si="124"/>
        <v>0</v>
      </c>
      <c r="AX67" s="81">
        <f t="shared" si="124"/>
        <v>0</v>
      </c>
      <c r="AY67" s="81">
        <f t="shared" si="124"/>
        <v>0</v>
      </c>
      <c r="AZ67" s="81">
        <f t="shared" si="124"/>
        <v>0</v>
      </c>
      <c r="BA67" s="82">
        <f t="shared" si="124"/>
        <v>0</v>
      </c>
      <c r="BB67" s="39" t="str">
        <f t="shared" si="24"/>
        <v>Liste 1</v>
      </c>
      <c r="BC67" s="39"/>
      <c r="BD67" s="39"/>
      <c r="BE67" s="39"/>
      <c r="BF67" s="39"/>
      <c r="BG67" s="39"/>
      <c r="BH67" s="39"/>
      <c r="BI67" s="39"/>
      <c r="BJ67" s="39"/>
      <c r="BK67" s="39"/>
      <c r="BL67" s="39"/>
      <c r="BM67" s="39"/>
    </row>
    <row r="68" spans="1:65" ht="16" x14ac:dyDescent="0.2">
      <c r="A68" s="77">
        <v>52</v>
      </c>
      <c r="B68" s="78">
        <f t="shared" ref="B68:R68" si="125">B$12/(AK67+1)</f>
        <v>0.76</v>
      </c>
      <c r="C68" s="78">
        <f t="shared" si="125"/>
        <v>0.7857142857142857</v>
      </c>
      <c r="D68" s="78">
        <f t="shared" si="125"/>
        <v>0</v>
      </c>
      <c r="E68" s="78">
        <f t="shared" si="125"/>
        <v>0</v>
      </c>
      <c r="F68" s="78">
        <f t="shared" si="125"/>
        <v>0</v>
      </c>
      <c r="G68" s="78">
        <f t="shared" si="125"/>
        <v>0</v>
      </c>
      <c r="H68" s="78">
        <f t="shared" si="125"/>
        <v>0</v>
      </c>
      <c r="I68" s="78">
        <f t="shared" si="125"/>
        <v>0</v>
      </c>
      <c r="J68" s="78">
        <f t="shared" si="125"/>
        <v>0</v>
      </c>
      <c r="K68" s="78">
        <f t="shared" si="125"/>
        <v>0</v>
      </c>
      <c r="L68" s="78">
        <f t="shared" si="125"/>
        <v>0</v>
      </c>
      <c r="M68" s="78">
        <f t="shared" si="125"/>
        <v>0</v>
      </c>
      <c r="N68" s="78">
        <f t="shared" si="125"/>
        <v>0</v>
      </c>
      <c r="O68" s="78">
        <f t="shared" si="125"/>
        <v>0</v>
      </c>
      <c r="P68" s="78">
        <f t="shared" si="125"/>
        <v>0</v>
      </c>
      <c r="Q68" s="78">
        <f t="shared" si="125"/>
        <v>0</v>
      </c>
      <c r="R68" s="79">
        <f t="shared" si="125"/>
        <v>0</v>
      </c>
      <c r="S68" s="79">
        <f t="shared" si="5"/>
        <v>0.7857142857142857</v>
      </c>
      <c r="T68" s="80">
        <f t="shared" si="6"/>
        <v>0</v>
      </c>
      <c r="U68" s="80">
        <f t="shared" si="7"/>
        <v>1</v>
      </c>
      <c r="V68" s="80">
        <f t="shared" si="8"/>
        <v>0</v>
      </c>
      <c r="W68" s="80">
        <f t="shared" si="9"/>
        <v>0</v>
      </c>
      <c r="X68" s="80">
        <f t="shared" si="10"/>
        <v>0</v>
      </c>
      <c r="Y68" s="80">
        <f t="shared" si="11"/>
        <v>0</v>
      </c>
      <c r="Z68" s="80">
        <f t="shared" si="12"/>
        <v>0</v>
      </c>
      <c r="AA68" s="80">
        <f t="shared" si="13"/>
        <v>0</v>
      </c>
      <c r="AB68" s="80">
        <f t="shared" si="14"/>
        <v>0</v>
      </c>
      <c r="AC68" s="80">
        <f t="shared" si="15"/>
        <v>0</v>
      </c>
      <c r="AD68" s="80">
        <f t="shared" si="16"/>
        <v>0</v>
      </c>
      <c r="AE68" s="80">
        <f t="shared" si="17"/>
        <v>0</v>
      </c>
      <c r="AF68" s="80">
        <f t="shared" si="18"/>
        <v>0</v>
      </c>
      <c r="AG68" s="80">
        <f t="shared" si="19"/>
        <v>0</v>
      </c>
      <c r="AH68" s="80">
        <f t="shared" si="20"/>
        <v>0</v>
      </c>
      <c r="AI68" s="80">
        <f t="shared" si="21"/>
        <v>0</v>
      </c>
      <c r="AJ68" s="80">
        <f t="shared" si="22"/>
        <v>0</v>
      </c>
      <c r="AK68" s="80">
        <f t="shared" ref="AK68:BA68" si="126">T68+AK67</f>
        <v>24</v>
      </c>
      <c r="AL68" s="81">
        <f t="shared" si="126"/>
        <v>28</v>
      </c>
      <c r="AM68" s="81">
        <f t="shared" si="126"/>
        <v>0</v>
      </c>
      <c r="AN68" s="81">
        <f t="shared" si="126"/>
        <v>0</v>
      </c>
      <c r="AO68" s="81">
        <f t="shared" si="126"/>
        <v>0</v>
      </c>
      <c r="AP68" s="81">
        <f t="shared" si="126"/>
        <v>0</v>
      </c>
      <c r="AQ68" s="81">
        <f t="shared" si="126"/>
        <v>0</v>
      </c>
      <c r="AR68" s="81">
        <f t="shared" si="126"/>
        <v>0</v>
      </c>
      <c r="AS68" s="81">
        <f t="shared" si="126"/>
        <v>0</v>
      </c>
      <c r="AT68" s="81">
        <f t="shared" si="126"/>
        <v>0</v>
      </c>
      <c r="AU68" s="81">
        <f t="shared" si="126"/>
        <v>0</v>
      </c>
      <c r="AV68" s="81">
        <f t="shared" si="126"/>
        <v>0</v>
      </c>
      <c r="AW68" s="81">
        <f t="shared" si="126"/>
        <v>0</v>
      </c>
      <c r="AX68" s="81">
        <f t="shared" si="126"/>
        <v>0</v>
      </c>
      <c r="AY68" s="81">
        <f t="shared" si="126"/>
        <v>0</v>
      </c>
      <c r="AZ68" s="81">
        <f t="shared" si="126"/>
        <v>0</v>
      </c>
      <c r="BA68" s="82">
        <f t="shared" si="126"/>
        <v>0</v>
      </c>
      <c r="BB68" s="39" t="str">
        <f t="shared" si="24"/>
        <v>Liste 2</v>
      </c>
      <c r="BC68" s="39"/>
      <c r="BD68" s="39"/>
      <c r="BE68" s="39"/>
      <c r="BF68" s="39"/>
      <c r="BG68" s="39"/>
      <c r="BH68" s="39"/>
      <c r="BI68" s="39"/>
      <c r="BJ68" s="39"/>
      <c r="BK68" s="39"/>
      <c r="BL68" s="39"/>
      <c r="BM68" s="39"/>
    </row>
    <row r="69" spans="1:65" ht="16" x14ac:dyDescent="0.2">
      <c r="A69" s="77">
        <v>53</v>
      </c>
      <c r="B69" s="78">
        <f t="shared" ref="B69:R69" si="127">B$12/(AK68+1)</f>
        <v>0.76</v>
      </c>
      <c r="C69" s="78">
        <f t="shared" si="127"/>
        <v>0.75862068965517238</v>
      </c>
      <c r="D69" s="78">
        <f t="shared" si="127"/>
        <v>0</v>
      </c>
      <c r="E69" s="78">
        <f t="shared" si="127"/>
        <v>0</v>
      </c>
      <c r="F69" s="78">
        <f t="shared" si="127"/>
        <v>0</v>
      </c>
      <c r="G69" s="78">
        <f t="shared" si="127"/>
        <v>0</v>
      </c>
      <c r="H69" s="78">
        <f t="shared" si="127"/>
        <v>0</v>
      </c>
      <c r="I69" s="78">
        <f t="shared" si="127"/>
        <v>0</v>
      </c>
      <c r="J69" s="78">
        <f t="shared" si="127"/>
        <v>0</v>
      </c>
      <c r="K69" s="78">
        <f t="shared" si="127"/>
        <v>0</v>
      </c>
      <c r="L69" s="78">
        <f t="shared" si="127"/>
        <v>0</v>
      </c>
      <c r="M69" s="78">
        <f t="shared" si="127"/>
        <v>0</v>
      </c>
      <c r="N69" s="78">
        <f t="shared" si="127"/>
        <v>0</v>
      </c>
      <c r="O69" s="78">
        <f t="shared" si="127"/>
        <v>0</v>
      </c>
      <c r="P69" s="78">
        <f t="shared" si="127"/>
        <v>0</v>
      </c>
      <c r="Q69" s="78">
        <f t="shared" si="127"/>
        <v>0</v>
      </c>
      <c r="R69" s="79">
        <f t="shared" si="127"/>
        <v>0</v>
      </c>
      <c r="S69" s="79">
        <f t="shared" si="5"/>
        <v>0.76</v>
      </c>
      <c r="T69" s="80">
        <f t="shared" si="6"/>
        <v>1</v>
      </c>
      <c r="U69" s="80">
        <f t="shared" si="7"/>
        <v>0</v>
      </c>
      <c r="V69" s="80">
        <f t="shared" si="8"/>
        <v>0</v>
      </c>
      <c r="W69" s="80">
        <f t="shared" si="9"/>
        <v>0</v>
      </c>
      <c r="X69" s="80">
        <f t="shared" si="10"/>
        <v>0</v>
      </c>
      <c r="Y69" s="80">
        <f t="shared" si="11"/>
        <v>0</v>
      </c>
      <c r="Z69" s="80">
        <f t="shared" si="12"/>
        <v>0</v>
      </c>
      <c r="AA69" s="80">
        <f t="shared" si="13"/>
        <v>0</v>
      </c>
      <c r="AB69" s="80">
        <f t="shared" si="14"/>
        <v>0</v>
      </c>
      <c r="AC69" s="80">
        <f t="shared" si="15"/>
        <v>0</v>
      </c>
      <c r="AD69" s="80">
        <f t="shared" si="16"/>
        <v>0</v>
      </c>
      <c r="AE69" s="80">
        <f t="shared" si="17"/>
        <v>0</v>
      </c>
      <c r="AF69" s="80">
        <f t="shared" si="18"/>
        <v>0</v>
      </c>
      <c r="AG69" s="80">
        <f t="shared" si="19"/>
        <v>0</v>
      </c>
      <c r="AH69" s="80">
        <f t="shared" si="20"/>
        <v>0</v>
      </c>
      <c r="AI69" s="80">
        <f t="shared" si="21"/>
        <v>0</v>
      </c>
      <c r="AJ69" s="80">
        <f t="shared" si="22"/>
        <v>0</v>
      </c>
      <c r="AK69" s="80">
        <f t="shared" ref="AK69:BA69" si="128">T69+AK68</f>
        <v>25</v>
      </c>
      <c r="AL69" s="81">
        <f t="shared" si="128"/>
        <v>28</v>
      </c>
      <c r="AM69" s="81">
        <f t="shared" si="128"/>
        <v>0</v>
      </c>
      <c r="AN69" s="81">
        <f t="shared" si="128"/>
        <v>0</v>
      </c>
      <c r="AO69" s="81">
        <f t="shared" si="128"/>
        <v>0</v>
      </c>
      <c r="AP69" s="81">
        <f t="shared" si="128"/>
        <v>0</v>
      </c>
      <c r="AQ69" s="81">
        <f t="shared" si="128"/>
        <v>0</v>
      </c>
      <c r="AR69" s="81">
        <f t="shared" si="128"/>
        <v>0</v>
      </c>
      <c r="AS69" s="81">
        <f t="shared" si="128"/>
        <v>0</v>
      </c>
      <c r="AT69" s="81">
        <f t="shared" si="128"/>
        <v>0</v>
      </c>
      <c r="AU69" s="81">
        <f t="shared" si="128"/>
        <v>0</v>
      </c>
      <c r="AV69" s="81">
        <f t="shared" si="128"/>
        <v>0</v>
      </c>
      <c r="AW69" s="81">
        <f t="shared" si="128"/>
        <v>0</v>
      </c>
      <c r="AX69" s="81">
        <f t="shared" si="128"/>
        <v>0</v>
      </c>
      <c r="AY69" s="81">
        <f t="shared" si="128"/>
        <v>0</v>
      </c>
      <c r="AZ69" s="81">
        <f t="shared" si="128"/>
        <v>0</v>
      </c>
      <c r="BA69" s="82">
        <f t="shared" si="128"/>
        <v>0</v>
      </c>
      <c r="BB69" s="39" t="str">
        <f t="shared" si="24"/>
        <v>Liste 1</v>
      </c>
      <c r="BC69" s="39"/>
      <c r="BD69" s="39"/>
      <c r="BE69" s="39"/>
      <c r="BF69" s="39"/>
      <c r="BG69" s="39"/>
      <c r="BH69" s="39"/>
      <c r="BI69" s="39"/>
      <c r="BJ69" s="39"/>
      <c r="BK69" s="39"/>
      <c r="BL69" s="39"/>
      <c r="BM69" s="39"/>
    </row>
    <row r="70" spans="1:65" ht="16" x14ac:dyDescent="0.2">
      <c r="A70" s="77">
        <v>54</v>
      </c>
      <c r="B70" s="78">
        <f t="shared" ref="B70:R70" si="129">B$12/(AK69+1)</f>
        <v>0.73076923076923073</v>
      </c>
      <c r="C70" s="78">
        <f t="shared" si="129"/>
        <v>0.75862068965517238</v>
      </c>
      <c r="D70" s="78">
        <f t="shared" si="129"/>
        <v>0</v>
      </c>
      <c r="E70" s="78">
        <f t="shared" si="129"/>
        <v>0</v>
      </c>
      <c r="F70" s="78">
        <f t="shared" si="129"/>
        <v>0</v>
      </c>
      <c r="G70" s="78">
        <f t="shared" si="129"/>
        <v>0</v>
      </c>
      <c r="H70" s="78">
        <f t="shared" si="129"/>
        <v>0</v>
      </c>
      <c r="I70" s="78">
        <f t="shared" si="129"/>
        <v>0</v>
      </c>
      <c r="J70" s="78">
        <f t="shared" si="129"/>
        <v>0</v>
      </c>
      <c r="K70" s="78">
        <f t="shared" si="129"/>
        <v>0</v>
      </c>
      <c r="L70" s="78">
        <f t="shared" si="129"/>
        <v>0</v>
      </c>
      <c r="M70" s="78">
        <f t="shared" si="129"/>
        <v>0</v>
      </c>
      <c r="N70" s="78">
        <f t="shared" si="129"/>
        <v>0</v>
      </c>
      <c r="O70" s="78">
        <f t="shared" si="129"/>
        <v>0</v>
      </c>
      <c r="P70" s="78">
        <f t="shared" si="129"/>
        <v>0</v>
      </c>
      <c r="Q70" s="78">
        <f t="shared" si="129"/>
        <v>0</v>
      </c>
      <c r="R70" s="79">
        <f t="shared" si="129"/>
        <v>0</v>
      </c>
      <c r="S70" s="79">
        <f t="shared" si="5"/>
        <v>0.75862068965517238</v>
      </c>
      <c r="T70" s="80">
        <f t="shared" si="6"/>
        <v>0</v>
      </c>
      <c r="U70" s="80">
        <f t="shared" si="7"/>
        <v>1</v>
      </c>
      <c r="V70" s="80">
        <f t="shared" si="8"/>
        <v>0</v>
      </c>
      <c r="W70" s="80">
        <f t="shared" si="9"/>
        <v>0</v>
      </c>
      <c r="X70" s="80">
        <f t="shared" si="10"/>
        <v>0</v>
      </c>
      <c r="Y70" s="80">
        <f t="shared" si="11"/>
        <v>0</v>
      </c>
      <c r="Z70" s="80">
        <f t="shared" si="12"/>
        <v>0</v>
      </c>
      <c r="AA70" s="80">
        <f t="shared" si="13"/>
        <v>0</v>
      </c>
      <c r="AB70" s="80">
        <f t="shared" si="14"/>
        <v>0</v>
      </c>
      <c r="AC70" s="80">
        <f t="shared" si="15"/>
        <v>0</v>
      </c>
      <c r="AD70" s="80">
        <f t="shared" si="16"/>
        <v>0</v>
      </c>
      <c r="AE70" s="80">
        <f t="shared" si="17"/>
        <v>0</v>
      </c>
      <c r="AF70" s="80">
        <f t="shared" si="18"/>
        <v>0</v>
      </c>
      <c r="AG70" s="80">
        <f t="shared" si="19"/>
        <v>0</v>
      </c>
      <c r="AH70" s="80">
        <f t="shared" si="20"/>
        <v>0</v>
      </c>
      <c r="AI70" s="80">
        <f t="shared" si="21"/>
        <v>0</v>
      </c>
      <c r="AJ70" s="80">
        <f t="shared" si="22"/>
        <v>0</v>
      </c>
      <c r="AK70" s="80">
        <f t="shared" ref="AK70:BA70" si="130">T70+AK69</f>
        <v>25</v>
      </c>
      <c r="AL70" s="81">
        <f t="shared" si="130"/>
        <v>29</v>
      </c>
      <c r="AM70" s="81">
        <f t="shared" si="130"/>
        <v>0</v>
      </c>
      <c r="AN70" s="81">
        <f t="shared" si="130"/>
        <v>0</v>
      </c>
      <c r="AO70" s="81">
        <f t="shared" si="130"/>
        <v>0</v>
      </c>
      <c r="AP70" s="81">
        <f t="shared" si="130"/>
        <v>0</v>
      </c>
      <c r="AQ70" s="81">
        <f t="shared" si="130"/>
        <v>0</v>
      </c>
      <c r="AR70" s="81">
        <f t="shared" si="130"/>
        <v>0</v>
      </c>
      <c r="AS70" s="81">
        <f t="shared" si="130"/>
        <v>0</v>
      </c>
      <c r="AT70" s="81">
        <f t="shared" si="130"/>
        <v>0</v>
      </c>
      <c r="AU70" s="81">
        <f t="shared" si="130"/>
        <v>0</v>
      </c>
      <c r="AV70" s="81">
        <f t="shared" si="130"/>
        <v>0</v>
      </c>
      <c r="AW70" s="81">
        <f t="shared" si="130"/>
        <v>0</v>
      </c>
      <c r="AX70" s="81">
        <f t="shared" si="130"/>
        <v>0</v>
      </c>
      <c r="AY70" s="81">
        <f t="shared" si="130"/>
        <v>0</v>
      </c>
      <c r="AZ70" s="81">
        <f t="shared" si="130"/>
        <v>0</v>
      </c>
      <c r="BA70" s="82">
        <f t="shared" si="130"/>
        <v>0</v>
      </c>
      <c r="BB70" s="39" t="str">
        <f t="shared" si="24"/>
        <v>Liste 2</v>
      </c>
      <c r="BC70" s="39"/>
      <c r="BD70" s="39"/>
      <c r="BE70" s="39"/>
      <c r="BF70" s="39"/>
      <c r="BG70" s="39"/>
      <c r="BH70" s="39"/>
      <c r="BI70" s="39"/>
      <c r="BJ70" s="39"/>
      <c r="BK70" s="39"/>
      <c r="BL70" s="39"/>
      <c r="BM70" s="39"/>
    </row>
    <row r="71" spans="1:65" ht="16" x14ac:dyDescent="0.2">
      <c r="A71" s="77">
        <v>55</v>
      </c>
      <c r="B71" s="78">
        <f t="shared" ref="B71:R71" si="131">B$12/(AK70+1)</f>
        <v>0.73076923076923073</v>
      </c>
      <c r="C71" s="78">
        <f t="shared" si="131"/>
        <v>0.73333333333333328</v>
      </c>
      <c r="D71" s="78">
        <f t="shared" si="131"/>
        <v>0</v>
      </c>
      <c r="E71" s="78">
        <f t="shared" si="131"/>
        <v>0</v>
      </c>
      <c r="F71" s="78">
        <f t="shared" si="131"/>
        <v>0</v>
      </c>
      <c r="G71" s="78">
        <f t="shared" si="131"/>
        <v>0</v>
      </c>
      <c r="H71" s="78">
        <f t="shared" si="131"/>
        <v>0</v>
      </c>
      <c r="I71" s="78">
        <f t="shared" si="131"/>
        <v>0</v>
      </c>
      <c r="J71" s="78">
        <f t="shared" si="131"/>
        <v>0</v>
      </c>
      <c r="K71" s="78">
        <f t="shared" si="131"/>
        <v>0</v>
      </c>
      <c r="L71" s="78">
        <f t="shared" si="131"/>
        <v>0</v>
      </c>
      <c r="M71" s="78">
        <f t="shared" si="131"/>
        <v>0</v>
      </c>
      <c r="N71" s="78">
        <f t="shared" si="131"/>
        <v>0</v>
      </c>
      <c r="O71" s="78">
        <f t="shared" si="131"/>
        <v>0</v>
      </c>
      <c r="P71" s="78">
        <f t="shared" si="131"/>
        <v>0</v>
      </c>
      <c r="Q71" s="78">
        <f t="shared" si="131"/>
        <v>0</v>
      </c>
      <c r="R71" s="79">
        <f t="shared" si="131"/>
        <v>0</v>
      </c>
      <c r="S71" s="79">
        <f t="shared" si="5"/>
        <v>0.73333333333333328</v>
      </c>
      <c r="T71" s="80">
        <f t="shared" si="6"/>
        <v>0</v>
      </c>
      <c r="U71" s="80">
        <f t="shared" si="7"/>
        <v>1</v>
      </c>
      <c r="V71" s="80">
        <f t="shared" si="8"/>
        <v>0</v>
      </c>
      <c r="W71" s="80">
        <f t="shared" si="9"/>
        <v>0</v>
      </c>
      <c r="X71" s="80">
        <f t="shared" si="10"/>
        <v>0</v>
      </c>
      <c r="Y71" s="80">
        <f t="shared" si="11"/>
        <v>0</v>
      </c>
      <c r="Z71" s="80">
        <f t="shared" si="12"/>
        <v>0</v>
      </c>
      <c r="AA71" s="80">
        <f t="shared" si="13"/>
        <v>0</v>
      </c>
      <c r="AB71" s="80">
        <f t="shared" si="14"/>
        <v>0</v>
      </c>
      <c r="AC71" s="80">
        <f t="shared" si="15"/>
        <v>0</v>
      </c>
      <c r="AD71" s="80">
        <f t="shared" si="16"/>
        <v>0</v>
      </c>
      <c r="AE71" s="80">
        <f t="shared" si="17"/>
        <v>0</v>
      </c>
      <c r="AF71" s="80">
        <f t="shared" si="18"/>
        <v>0</v>
      </c>
      <c r="AG71" s="80">
        <f t="shared" si="19"/>
        <v>0</v>
      </c>
      <c r="AH71" s="80">
        <f t="shared" si="20"/>
        <v>0</v>
      </c>
      <c r="AI71" s="80">
        <f t="shared" si="21"/>
        <v>0</v>
      </c>
      <c r="AJ71" s="80">
        <f t="shared" si="22"/>
        <v>0</v>
      </c>
      <c r="AK71" s="80">
        <f t="shared" ref="AK71:BA71" si="132">T71+AK70</f>
        <v>25</v>
      </c>
      <c r="AL71" s="81">
        <f t="shared" si="132"/>
        <v>30</v>
      </c>
      <c r="AM71" s="81">
        <f t="shared" si="132"/>
        <v>0</v>
      </c>
      <c r="AN71" s="81">
        <f t="shared" si="132"/>
        <v>0</v>
      </c>
      <c r="AO71" s="81">
        <f t="shared" si="132"/>
        <v>0</v>
      </c>
      <c r="AP71" s="81">
        <f t="shared" si="132"/>
        <v>0</v>
      </c>
      <c r="AQ71" s="81">
        <f t="shared" si="132"/>
        <v>0</v>
      </c>
      <c r="AR71" s="81">
        <f t="shared" si="132"/>
        <v>0</v>
      </c>
      <c r="AS71" s="81">
        <f t="shared" si="132"/>
        <v>0</v>
      </c>
      <c r="AT71" s="81">
        <f t="shared" si="132"/>
        <v>0</v>
      </c>
      <c r="AU71" s="81">
        <f t="shared" si="132"/>
        <v>0</v>
      </c>
      <c r="AV71" s="81">
        <f t="shared" si="132"/>
        <v>0</v>
      </c>
      <c r="AW71" s="81">
        <f t="shared" si="132"/>
        <v>0</v>
      </c>
      <c r="AX71" s="81">
        <f t="shared" si="132"/>
        <v>0</v>
      </c>
      <c r="AY71" s="81">
        <f t="shared" si="132"/>
        <v>0</v>
      </c>
      <c r="AZ71" s="81">
        <f t="shared" si="132"/>
        <v>0</v>
      </c>
      <c r="BA71" s="82">
        <f t="shared" si="132"/>
        <v>0</v>
      </c>
      <c r="BB71" s="39" t="str">
        <f t="shared" si="24"/>
        <v>Liste 2</v>
      </c>
      <c r="BC71" s="39"/>
      <c r="BD71" s="39"/>
      <c r="BE71" s="39"/>
      <c r="BF71" s="39"/>
      <c r="BG71" s="39"/>
      <c r="BH71" s="39"/>
      <c r="BI71" s="39"/>
      <c r="BJ71" s="39"/>
      <c r="BK71" s="39"/>
      <c r="BL71" s="39"/>
      <c r="BM71" s="39"/>
    </row>
    <row r="72" spans="1:65" ht="16" x14ac:dyDescent="0.2">
      <c r="A72" s="77">
        <v>56</v>
      </c>
      <c r="B72" s="78">
        <f t="shared" ref="B72:R72" si="133">B$12/(AK71+1)</f>
        <v>0.73076923076923073</v>
      </c>
      <c r="C72" s="78">
        <f t="shared" si="133"/>
        <v>0.70967741935483875</v>
      </c>
      <c r="D72" s="78">
        <f t="shared" si="133"/>
        <v>0</v>
      </c>
      <c r="E72" s="78">
        <f t="shared" si="133"/>
        <v>0</v>
      </c>
      <c r="F72" s="78">
        <f t="shared" si="133"/>
        <v>0</v>
      </c>
      <c r="G72" s="78">
        <f t="shared" si="133"/>
        <v>0</v>
      </c>
      <c r="H72" s="78">
        <f t="shared" si="133"/>
        <v>0</v>
      </c>
      <c r="I72" s="78">
        <f t="shared" si="133"/>
        <v>0</v>
      </c>
      <c r="J72" s="78">
        <f t="shared" si="133"/>
        <v>0</v>
      </c>
      <c r="K72" s="78">
        <f t="shared" si="133"/>
        <v>0</v>
      </c>
      <c r="L72" s="78">
        <f t="shared" si="133"/>
        <v>0</v>
      </c>
      <c r="M72" s="78">
        <f t="shared" si="133"/>
        <v>0</v>
      </c>
      <c r="N72" s="78">
        <f t="shared" si="133"/>
        <v>0</v>
      </c>
      <c r="O72" s="78">
        <f t="shared" si="133"/>
        <v>0</v>
      </c>
      <c r="P72" s="78">
        <f t="shared" si="133"/>
        <v>0</v>
      </c>
      <c r="Q72" s="78">
        <f t="shared" si="133"/>
        <v>0</v>
      </c>
      <c r="R72" s="79">
        <f t="shared" si="133"/>
        <v>0</v>
      </c>
      <c r="S72" s="79">
        <f t="shared" si="5"/>
        <v>0.73076923076923073</v>
      </c>
      <c r="T72" s="80">
        <f t="shared" si="6"/>
        <v>1</v>
      </c>
      <c r="U72" s="80">
        <f t="shared" si="7"/>
        <v>0</v>
      </c>
      <c r="V72" s="80">
        <f t="shared" si="8"/>
        <v>0</v>
      </c>
      <c r="W72" s="80">
        <f t="shared" si="9"/>
        <v>0</v>
      </c>
      <c r="X72" s="80">
        <f t="shared" si="10"/>
        <v>0</v>
      </c>
      <c r="Y72" s="80">
        <f t="shared" si="11"/>
        <v>0</v>
      </c>
      <c r="Z72" s="80">
        <f t="shared" si="12"/>
        <v>0</v>
      </c>
      <c r="AA72" s="80">
        <f t="shared" si="13"/>
        <v>0</v>
      </c>
      <c r="AB72" s="80">
        <f t="shared" si="14"/>
        <v>0</v>
      </c>
      <c r="AC72" s="80">
        <f t="shared" si="15"/>
        <v>0</v>
      </c>
      <c r="AD72" s="80">
        <f t="shared" si="16"/>
        <v>0</v>
      </c>
      <c r="AE72" s="80">
        <f t="shared" si="17"/>
        <v>0</v>
      </c>
      <c r="AF72" s="80">
        <f t="shared" si="18"/>
        <v>0</v>
      </c>
      <c r="AG72" s="80">
        <f t="shared" si="19"/>
        <v>0</v>
      </c>
      <c r="AH72" s="80">
        <f t="shared" si="20"/>
        <v>0</v>
      </c>
      <c r="AI72" s="80">
        <f t="shared" si="21"/>
        <v>0</v>
      </c>
      <c r="AJ72" s="80">
        <f t="shared" si="22"/>
        <v>0</v>
      </c>
      <c r="AK72" s="80">
        <f t="shared" ref="AK72:BA72" si="134">T72+AK71</f>
        <v>26</v>
      </c>
      <c r="AL72" s="81">
        <f t="shared" si="134"/>
        <v>30</v>
      </c>
      <c r="AM72" s="81">
        <f t="shared" si="134"/>
        <v>0</v>
      </c>
      <c r="AN72" s="81">
        <f t="shared" si="134"/>
        <v>0</v>
      </c>
      <c r="AO72" s="81">
        <f t="shared" si="134"/>
        <v>0</v>
      </c>
      <c r="AP72" s="81">
        <f t="shared" si="134"/>
        <v>0</v>
      </c>
      <c r="AQ72" s="81">
        <f t="shared" si="134"/>
        <v>0</v>
      </c>
      <c r="AR72" s="81">
        <f t="shared" si="134"/>
        <v>0</v>
      </c>
      <c r="AS72" s="81">
        <f t="shared" si="134"/>
        <v>0</v>
      </c>
      <c r="AT72" s="81">
        <f t="shared" si="134"/>
        <v>0</v>
      </c>
      <c r="AU72" s="81">
        <f t="shared" si="134"/>
        <v>0</v>
      </c>
      <c r="AV72" s="81">
        <f t="shared" si="134"/>
        <v>0</v>
      </c>
      <c r="AW72" s="81">
        <f t="shared" si="134"/>
        <v>0</v>
      </c>
      <c r="AX72" s="81">
        <f t="shared" si="134"/>
        <v>0</v>
      </c>
      <c r="AY72" s="81">
        <f t="shared" si="134"/>
        <v>0</v>
      </c>
      <c r="AZ72" s="81">
        <f t="shared" si="134"/>
        <v>0</v>
      </c>
      <c r="BA72" s="82">
        <f t="shared" si="134"/>
        <v>0</v>
      </c>
      <c r="BB72" s="39" t="str">
        <f t="shared" si="24"/>
        <v>Liste 1</v>
      </c>
      <c r="BC72" s="39"/>
      <c r="BD72" s="39"/>
      <c r="BE72" s="39"/>
      <c r="BF72" s="39"/>
      <c r="BG72" s="39"/>
      <c r="BH72" s="39"/>
      <c r="BI72" s="39"/>
      <c r="BJ72" s="39"/>
      <c r="BK72" s="39"/>
      <c r="BL72" s="39"/>
      <c r="BM72" s="39"/>
    </row>
    <row r="73" spans="1:65" ht="16" x14ac:dyDescent="0.2">
      <c r="A73" s="77">
        <v>57</v>
      </c>
      <c r="B73" s="78">
        <f t="shared" ref="B73:R73" si="135">B$12/(AK72+1)</f>
        <v>0.70370370370370372</v>
      </c>
      <c r="C73" s="78">
        <f t="shared" si="135"/>
        <v>0.70967741935483875</v>
      </c>
      <c r="D73" s="78">
        <f t="shared" si="135"/>
        <v>0</v>
      </c>
      <c r="E73" s="78">
        <f t="shared" si="135"/>
        <v>0</v>
      </c>
      <c r="F73" s="78">
        <f t="shared" si="135"/>
        <v>0</v>
      </c>
      <c r="G73" s="78">
        <f t="shared" si="135"/>
        <v>0</v>
      </c>
      <c r="H73" s="78">
        <f t="shared" si="135"/>
        <v>0</v>
      </c>
      <c r="I73" s="78">
        <f t="shared" si="135"/>
        <v>0</v>
      </c>
      <c r="J73" s="78">
        <f t="shared" si="135"/>
        <v>0</v>
      </c>
      <c r="K73" s="78">
        <f t="shared" si="135"/>
        <v>0</v>
      </c>
      <c r="L73" s="78">
        <f t="shared" si="135"/>
        <v>0</v>
      </c>
      <c r="M73" s="78">
        <f t="shared" si="135"/>
        <v>0</v>
      </c>
      <c r="N73" s="78">
        <f t="shared" si="135"/>
        <v>0</v>
      </c>
      <c r="O73" s="78">
        <f t="shared" si="135"/>
        <v>0</v>
      </c>
      <c r="P73" s="78">
        <f t="shared" si="135"/>
        <v>0</v>
      </c>
      <c r="Q73" s="78">
        <f t="shared" si="135"/>
        <v>0</v>
      </c>
      <c r="R73" s="79">
        <f t="shared" si="135"/>
        <v>0</v>
      </c>
      <c r="S73" s="79">
        <f t="shared" si="5"/>
        <v>0.70967741935483875</v>
      </c>
      <c r="T73" s="80">
        <f t="shared" si="6"/>
        <v>0</v>
      </c>
      <c r="U73" s="80">
        <f t="shared" si="7"/>
        <v>1</v>
      </c>
      <c r="V73" s="80">
        <f t="shared" si="8"/>
        <v>0</v>
      </c>
      <c r="W73" s="80">
        <f t="shared" si="9"/>
        <v>0</v>
      </c>
      <c r="X73" s="80">
        <f t="shared" si="10"/>
        <v>0</v>
      </c>
      <c r="Y73" s="80">
        <f t="shared" si="11"/>
        <v>0</v>
      </c>
      <c r="Z73" s="80">
        <f t="shared" si="12"/>
        <v>0</v>
      </c>
      <c r="AA73" s="80">
        <f t="shared" si="13"/>
        <v>0</v>
      </c>
      <c r="AB73" s="80">
        <f t="shared" si="14"/>
        <v>0</v>
      </c>
      <c r="AC73" s="80">
        <f t="shared" si="15"/>
        <v>0</v>
      </c>
      <c r="AD73" s="80">
        <f t="shared" si="16"/>
        <v>0</v>
      </c>
      <c r="AE73" s="80">
        <f t="shared" si="17"/>
        <v>0</v>
      </c>
      <c r="AF73" s="80">
        <f t="shared" si="18"/>
        <v>0</v>
      </c>
      <c r="AG73" s="80">
        <f t="shared" si="19"/>
        <v>0</v>
      </c>
      <c r="AH73" s="80">
        <f t="shared" si="20"/>
        <v>0</v>
      </c>
      <c r="AI73" s="80">
        <f t="shared" si="21"/>
        <v>0</v>
      </c>
      <c r="AJ73" s="80">
        <f t="shared" si="22"/>
        <v>0</v>
      </c>
      <c r="AK73" s="80">
        <f t="shared" ref="AK73:BA73" si="136">T73+AK72</f>
        <v>26</v>
      </c>
      <c r="AL73" s="81">
        <f t="shared" si="136"/>
        <v>31</v>
      </c>
      <c r="AM73" s="81">
        <f t="shared" si="136"/>
        <v>0</v>
      </c>
      <c r="AN73" s="81">
        <f t="shared" si="136"/>
        <v>0</v>
      </c>
      <c r="AO73" s="81">
        <f t="shared" si="136"/>
        <v>0</v>
      </c>
      <c r="AP73" s="81">
        <f t="shared" si="136"/>
        <v>0</v>
      </c>
      <c r="AQ73" s="81">
        <f t="shared" si="136"/>
        <v>0</v>
      </c>
      <c r="AR73" s="81">
        <f t="shared" si="136"/>
        <v>0</v>
      </c>
      <c r="AS73" s="81">
        <f t="shared" si="136"/>
        <v>0</v>
      </c>
      <c r="AT73" s="81">
        <f t="shared" si="136"/>
        <v>0</v>
      </c>
      <c r="AU73" s="81">
        <f t="shared" si="136"/>
        <v>0</v>
      </c>
      <c r="AV73" s="81">
        <f t="shared" si="136"/>
        <v>0</v>
      </c>
      <c r="AW73" s="81">
        <f t="shared" si="136"/>
        <v>0</v>
      </c>
      <c r="AX73" s="81">
        <f t="shared" si="136"/>
        <v>0</v>
      </c>
      <c r="AY73" s="81">
        <f t="shared" si="136"/>
        <v>0</v>
      </c>
      <c r="AZ73" s="81">
        <f t="shared" si="136"/>
        <v>0</v>
      </c>
      <c r="BA73" s="82">
        <f t="shared" si="136"/>
        <v>0</v>
      </c>
      <c r="BB73" s="39" t="str">
        <f t="shared" si="24"/>
        <v>Liste 2</v>
      </c>
      <c r="BC73" s="39"/>
      <c r="BD73" s="39"/>
      <c r="BE73" s="39"/>
      <c r="BF73" s="39"/>
      <c r="BG73" s="39"/>
      <c r="BH73" s="39"/>
      <c r="BI73" s="39"/>
      <c r="BJ73" s="39"/>
      <c r="BK73" s="39"/>
      <c r="BL73" s="39"/>
      <c r="BM73" s="39"/>
    </row>
    <row r="74" spans="1:65" ht="16" x14ac:dyDescent="0.2">
      <c r="A74" s="77">
        <v>58</v>
      </c>
      <c r="B74" s="78">
        <f t="shared" ref="B74:R74" si="137">B$12/(AK73+1)</f>
        <v>0.70370370370370372</v>
      </c>
      <c r="C74" s="78">
        <f t="shared" si="137"/>
        <v>0.6875</v>
      </c>
      <c r="D74" s="78">
        <f t="shared" si="137"/>
        <v>0</v>
      </c>
      <c r="E74" s="78">
        <f t="shared" si="137"/>
        <v>0</v>
      </c>
      <c r="F74" s="78">
        <f t="shared" si="137"/>
        <v>0</v>
      </c>
      <c r="G74" s="78">
        <f t="shared" si="137"/>
        <v>0</v>
      </c>
      <c r="H74" s="78">
        <f t="shared" si="137"/>
        <v>0</v>
      </c>
      <c r="I74" s="78">
        <f t="shared" si="137"/>
        <v>0</v>
      </c>
      <c r="J74" s="78">
        <f t="shared" si="137"/>
        <v>0</v>
      </c>
      <c r="K74" s="78">
        <f t="shared" si="137"/>
        <v>0</v>
      </c>
      <c r="L74" s="78">
        <f t="shared" si="137"/>
        <v>0</v>
      </c>
      <c r="M74" s="78">
        <f t="shared" si="137"/>
        <v>0</v>
      </c>
      <c r="N74" s="78">
        <f t="shared" si="137"/>
        <v>0</v>
      </c>
      <c r="O74" s="78">
        <f t="shared" si="137"/>
        <v>0</v>
      </c>
      <c r="P74" s="78">
        <f t="shared" si="137"/>
        <v>0</v>
      </c>
      <c r="Q74" s="78">
        <f t="shared" si="137"/>
        <v>0</v>
      </c>
      <c r="R74" s="79">
        <f t="shared" si="137"/>
        <v>0</v>
      </c>
      <c r="S74" s="79">
        <f t="shared" si="5"/>
        <v>0.70370370370370372</v>
      </c>
      <c r="T74" s="80">
        <f t="shared" si="6"/>
        <v>1</v>
      </c>
      <c r="U74" s="80">
        <f t="shared" si="7"/>
        <v>0</v>
      </c>
      <c r="V74" s="80">
        <f t="shared" si="8"/>
        <v>0</v>
      </c>
      <c r="W74" s="80">
        <f t="shared" si="9"/>
        <v>0</v>
      </c>
      <c r="X74" s="80">
        <f t="shared" si="10"/>
        <v>0</v>
      </c>
      <c r="Y74" s="80">
        <f t="shared" si="11"/>
        <v>0</v>
      </c>
      <c r="Z74" s="80">
        <f t="shared" si="12"/>
        <v>0</v>
      </c>
      <c r="AA74" s="80">
        <f t="shared" si="13"/>
        <v>0</v>
      </c>
      <c r="AB74" s="80">
        <f t="shared" si="14"/>
        <v>0</v>
      </c>
      <c r="AC74" s="80">
        <f t="shared" si="15"/>
        <v>0</v>
      </c>
      <c r="AD74" s="80">
        <f t="shared" si="16"/>
        <v>0</v>
      </c>
      <c r="AE74" s="80">
        <f t="shared" si="17"/>
        <v>0</v>
      </c>
      <c r="AF74" s="80">
        <f t="shared" si="18"/>
        <v>0</v>
      </c>
      <c r="AG74" s="80">
        <f t="shared" si="19"/>
        <v>0</v>
      </c>
      <c r="AH74" s="80">
        <f t="shared" si="20"/>
        <v>0</v>
      </c>
      <c r="AI74" s="80">
        <f t="shared" si="21"/>
        <v>0</v>
      </c>
      <c r="AJ74" s="80">
        <f t="shared" si="22"/>
        <v>0</v>
      </c>
      <c r="AK74" s="80">
        <f t="shared" ref="AK74:BA74" si="138">T74+AK73</f>
        <v>27</v>
      </c>
      <c r="AL74" s="81">
        <f t="shared" si="138"/>
        <v>31</v>
      </c>
      <c r="AM74" s="81">
        <f t="shared" si="138"/>
        <v>0</v>
      </c>
      <c r="AN74" s="81">
        <f t="shared" si="138"/>
        <v>0</v>
      </c>
      <c r="AO74" s="81">
        <f t="shared" si="138"/>
        <v>0</v>
      </c>
      <c r="AP74" s="81">
        <f t="shared" si="138"/>
        <v>0</v>
      </c>
      <c r="AQ74" s="81">
        <f t="shared" si="138"/>
        <v>0</v>
      </c>
      <c r="AR74" s="81">
        <f t="shared" si="138"/>
        <v>0</v>
      </c>
      <c r="AS74" s="81">
        <f t="shared" si="138"/>
        <v>0</v>
      </c>
      <c r="AT74" s="81">
        <f t="shared" si="138"/>
        <v>0</v>
      </c>
      <c r="AU74" s="81">
        <f t="shared" si="138"/>
        <v>0</v>
      </c>
      <c r="AV74" s="81">
        <f t="shared" si="138"/>
        <v>0</v>
      </c>
      <c r="AW74" s="81">
        <f t="shared" si="138"/>
        <v>0</v>
      </c>
      <c r="AX74" s="81">
        <f t="shared" si="138"/>
        <v>0</v>
      </c>
      <c r="AY74" s="81">
        <f t="shared" si="138"/>
        <v>0</v>
      </c>
      <c r="AZ74" s="81">
        <f t="shared" si="138"/>
        <v>0</v>
      </c>
      <c r="BA74" s="82">
        <f t="shared" si="138"/>
        <v>0</v>
      </c>
      <c r="BB74" s="39" t="str">
        <f t="shared" si="24"/>
        <v>Liste 1</v>
      </c>
      <c r="BC74" s="39"/>
      <c r="BD74" s="39"/>
      <c r="BE74" s="39"/>
      <c r="BF74" s="39"/>
      <c r="BG74" s="39"/>
      <c r="BH74" s="39"/>
      <c r="BI74" s="39"/>
      <c r="BJ74" s="39"/>
      <c r="BK74" s="39"/>
      <c r="BL74" s="39"/>
      <c r="BM74" s="39"/>
    </row>
    <row r="75" spans="1:65" ht="16" x14ac:dyDescent="0.2">
      <c r="A75" s="77">
        <v>59</v>
      </c>
      <c r="B75" s="78">
        <f t="shared" ref="B75:R75" si="139">B$12/(AK74+1)</f>
        <v>0.6785714285714286</v>
      </c>
      <c r="C75" s="78">
        <f t="shared" si="139"/>
        <v>0.6875</v>
      </c>
      <c r="D75" s="78">
        <f t="shared" si="139"/>
        <v>0</v>
      </c>
      <c r="E75" s="78">
        <f t="shared" si="139"/>
        <v>0</v>
      </c>
      <c r="F75" s="78">
        <f t="shared" si="139"/>
        <v>0</v>
      </c>
      <c r="G75" s="78">
        <f t="shared" si="139"/>
        <v>0</v>
      </c>
      <c r="H75" s="78">
        <f t="shared" si="139"/>
        <v>0</v>
      </c>
      <c r="I75" s="78">
        <f t="shared" si="139"/>
        <v>0</v>
      </c>
      <c r="J75" s="78">
        <f t="shared" si="139"/>
        <v>0</v>
      </c>
      <c r="K75" s="78">
        <f t="shared" si="139"/>
        <v>0</v>
      </c>
      <c r="L75" s="78">
        <f t="shared" si="139"/>
        <v>0</v>
      </c>
      <c r="M75" s="78">
        <f t="shared" si="139"/>
        <v>0</v>
      </c>
      <c r="N75" s="78">
        <f t="shared" si="139"/>
        <v>0</v>
      </c>
      <c r="O75" s="78">
        <f t="shared" si="139"/>
        <v>0</v>
      </c>
      <c r="P75" s="78">
        <f t="shared" si="139"/>
        <v>0</v>
      </c>
      <c r="Q75" s="78">
        <f t="shared" si="139"/>
        <v>0</v>
      </c>
      <c r="R75" s="79">
        <f t="shared" si="139"/>
        <v>0</v>
      </c>
      <c r="S75" s="79">
        <f t="shared" si="5"/>
        <v>0.6875</v>
      </c>
      <c r="T75" s="80">
        <f t="shared" si="6"/>
        <v>0</v>
      </c>
      <c r="U75" s="80">
        <f t="shared" si="7"/>
        <v>1</v>
      </c>
      <c r="V75" s="80">
        <f t="shared" si="8"/>
        <v>0</v>
      </c>
      <c r="W75" s="80">
        <f t="shared" si="9"/>
        <v>0</v>
      </c>
      <c r="X75" s="80">
        <f t="shared" si="10"/>
        <v>0</v>
      </c>
      <c r="Y75" s="80">
        <f t="shared" si="11"/>
        <v>0</v>
      </c>
      <c r="Z75" s="80">
        <f t="shared" si="12"/>
        <v>0</v>
      </c>
      <c r="AA75" s="80">
        <f t="shared" si="13"/>
        <v>0</v>
      </c>
      <c r="AB75" s="80">
        <f t="shared" si="14"/>
        <v>0</v>
      </c>
      <c r="AC75" s="80">
        <f t="shared" si="15"/>
        <v>0</v>
      </c>
      <c r="AD75" s="80">
        <f t="shared" si="16"/>
        <v>0</v>
      </c>
      <c r="AE75" s="80">
        <f t="shared" si="17"/>
        <v>0</v>
      </c>
      <c r="AF75" s="80">
        <f t="shared" si="18"/>
        <v>0</v>
      </c>
      <c r="AG75" s="80">
        <f t="shared" si="19"/>
        <v>0</v>
      </c>
      <c r="AH75" s="80">
        <f t="shared" si="20"/>
        <v>0</v>
      </c>
      <c r="AI75" s="80">
        <f t="shared" si="21"/>
        <v>0</v>
      </c>
      <c r="AJ75" s="80">
        <f t="shared" si="22"/>
        <v>0</v>
      </c>
      <c r="AK75" s="80">
        <f t="shared" ref="AK75:BA75" si="140">T75+AK74</f>
        <v>27</v>
      </c>
      <c r="AL75" s="81">
        <f t="shared" si="140"/>
        <v>32</v>
      </c>
      <c r="AM75" s="81">
        <f t="shared" si="140"/>
        <v>0</v>
      </c>
      <c r="AN75" s="81">
        <f t="shared" si="140"/>
        <v>0</v>
      </c>
      <c r="AO75" s="81">
        <f t="shared" si="140"/>
        <v>0</v>
      </c>
      <c r="AP75" s="81">
        <f t="shared" si="140"/>
        <v>0</v>
      </c>
      <c r="AQ75" s="81">
        <f t="shared" si="140"/>
        <v>0</v>
      </c>
      <c r="AR75" s="81">
        <f t="shared" si="140"/>
        <v>0</v>
      </c>
      <c r="AS75" s="81">
        <f t="shared" si="140"/>
        <v>0</v>
      </c>
      <c r="AT75" s="81">
        <f t="shared" si="140"/>
        <v>0</v>
      </c>
      <c r="AU75" s="81">
        <f t="shared" si="140"/>
        <v>0</v>
      </c>
      <c r="AV75" s="81">
        <f t="shared" si="140"/>
        <v>0</v>
      </c>
      <c r="AW75" s="81">
        <f t="shared" si="140"/>
        <v>0</v>
      </c>
      <c r="AX75" s="81">
        <f t="shared" si="140"/>
        <v>0</v>
      </c>
      <c r="AY75" s="81">
        <f t="shared" si="140"/>
        <v>0</v>
      </c>
      <c r="AZ75" s="81">
        <f t="shared" si="140"/>
        <v>0</v>
      </c>
      <c r="BA75" s="82">
        <f t="shared" si="140"/>
        <v>0</v>
      </c>
      <c r="BB75" s="39" t="str">
        <f t="shared" si="24"/>
        <v>Liste 2</v>
      </c>
      <c r="BC75" s="39"/>
      <c r="BD75" s="39"/>
      <c r="BE75" s="39"/>
      <c r="BF75" s="39"/>
      <c r="BG75" s="39"/>
      <c r="BH75" s="39"/>
      <c r="BI75" s="39"/>
      <c r="BJ75" s="39"/>
      <c r="BK75" s="39"/>
      <c r="BL75" s="39"/>
      <c r="BM75" s="39"/>
    </row>
    <row r="76" spans="1:65" ht="16" x14ac:dyDescent="0.2">
      <c r="A76" s="77">
        <v>60</v>
      </c>
      <c r="B76" s="78">
        <f t="shared" ref="B76:R76" si="141">B$12/(AK75+1)</f>
        <v>0.6785714285714286</v>
      </c>
      <c r="C76" s="78">
        <f t="shared" si="141"/>
        <v>0.66666666666666663</v>
      </c>
      <c r="D76" s="78">
        <f t="shared" si="141"/>
        <v>0</v>
      </c>
      <c r="E76" s="78">
        <f t="shared" si="141"/>
        <v>0</v>
      </c>
      <c r="F76" s="78">
        <f t="shared" si="141"/>
        <v>0</v>
      </c>
      <c r="G76" s="78">
        <f t="shared" si="141"/>
        <v>0</v>
      </c>
      <c r="H76" s="78">
        <f t="shared" si="141"/>
        <v>0</v>
      </c>
      <c r="I76" s="78">
        <f t="shared" si="141"/>
        <v>0</v>
      </c>
      <c r="J76" s="78">
        <f t="shared" si="141"/>
        <v>0</v>
      </c>
      <c r="K76" s="78">
        <f t="shared" si="141"/>
        <v>0</v>
      </c>
      <c r="L76" s="78">
        <f t="shared" si="141"/>
        <v>0</v>
      </c>
      <c r="M76" s="78">
        <f t="shared" si="141"/>
        <v>0</v>
      </c>
      <c r="N76" s="78">
        <f t="shared" si="141"/>
        <v>0</v>
      </c>
      <c r="O76" s="78">
        <f t="shared" si="141"/>
        <v>0</v>
      </c>
      <c r="P76" s="78">
        <f t="shared" si="141"/>
        <v>0</v>
      </c>
      <c r="Q76" s="78">
        <f t="shared" si="141"/>
        <v>0</v>
      </c>
      <c r="R76" s="79">
        <f t="shared" si="141"/>
        <v>0</v>
      </c>
      <c r="S76" s="79">
        <f t="shared" si="5"/>
        <v>0.6785714285714286</v>
      </c>
      <c r="T76" s="80">
        <f t="shared" si="6"/>
        <v>1</v>
      </c>
      <c r="U76" s="80">
        <f t="shared" si="7"/>
        <v>0</v>
      </c>
      <c r="V76" s="80">
        <f t="shared" si="8"/>
        <v>0</v>
      </c>
      <c r="W76" s="80">
        <f t="shared" si="9"/>
        <v>0</v>
      </c>
      <c r="X76" s="80">
        <f t="shared" si="10"/>
        <v>0</v>
      </c>
      <c r="Y76" s="80">
        <f t="shared" si="11"/>
        <v>0</v>
      </c>
      <c r="Z76" s="80">
        <f t="shared" si="12"/>
        <v>0</v>
      </c>
      <c r="AA76" s="80">
        <f t="shared" si="13"/>
        <v>0</v>
      </c>
      <c r="AB76" s="80">
        <f t="shared" si="14"/>
        <v>0</v>
      </c>
      <c r="AC76" s="80">
        <f t="shared" si="15"/>
        <v>0</v>
      </c>
      <c r="AD76" s="80">
        <f t="shared" si="16"/>
        <v>0</v>
      </c>
      <c r="AE76" s="80">
        <f t="shared" si="17"/>
        <v>0</v>
      </c>
      <c r="AF76" s="80">
        <f t="shared" si="18"/>
        <v>0</v>
      </c>
      <c r="AG76" s="80">
        <f t="shared" si="19"/>
        <v>0</v>
      </c>
      <c r="AH76" s="80">
        <f t="shared" si="20"/>
        <v>0</v>
      </c>
      <c r="AI76" s="80">
        <f t="shared" si="21"/>
        <v>0</v>
      </c>
      <c r="AJ76" s="80">
        <f t="shared" si="22"/>
        <v>0</v>
      </c>
      <c r="AK76" s="80">
        <f t="shared" ref="AK76:BA76" si="142">T76+AK75</f>
        <v>28</v>
      </c>
      <c r="AL76" s="81">
        <f t="shared" si="142"/>
        <v>32</v>
      </c>
      <c r="AM76" s="81">
        <f t="shared" si="142"/>
        <v>0</v>
      </c>
      <c r="AN76" s="81">
        <f t="shared" si="142"/>
        <v>0</v>
      </c>
      <c r="AO76" s="81">
        <f t="shared" si="142"/>
        <v>0</v>
      </c>
      <c r="AP76" s="81">
        <f t="shared" si="142"/>
        <v>0</v>
      </c>
      <c r="AQ76" s="81">
        <f t="shared" si="142"/>
        <v>0</v>
      </c>
      <c r="AR76" s="81">
        <f t="shared" si="142"/>
        <v>0</v>
      </c>
      <c r="AS76" s="81">
        <f t="shared" si="142"/>
        <v>0</v>
      </c>
      <c r="AT76" s="81">
        <f t="shared" si="142"/>
        <v>0</v>
      </c>
      <c r="AU76" s="81">
        <f t="shared" si="142"/>
        <v>0</v>
      </c>
      <c r="AV76" s="81">
        <f t="shared" si="142"/>
        <v>0</v>
      </c>
      <c r="AW76" s="81">
        <f t="shared" si="142"/>
        <v>0</v>
      </c>
      <c r="AX76" s="81">
        <f t="shared" si="142"/>
        <v>0</v>
      </c>
      <c r="AY76" s="81">
        <f t="shared" si="142"/>
        <v>0</v>
      </c>
      <c r="AZ76" s="81">
        <f t="shared" si="142"/>
        <v>0</v>
      </c>
      <c r="BA76" s="82">
        <f t="shared" si="142"/>
        <v>0</v>
      </c>
      <c r="BB76" s="39" t="str">
        <f t="shared" si="24"/>
        <v>Liste 1</v>
      </c>
      <c r="BC76" s="39"/>
      <c r="BD76" s="39"/>
      <c r="BE76" s="39"/>
      <c r="BF76" s="39"/>
      <c r="BG76" s="39"/>
      <c r="BH76" s="39"/>
      <c r="BI76" s="39"/>
      <c r="BJ76" s="39"/>
      <c r="BK76" s="39"/>
      <c r="BL76" s="39"/>
      <c r="BM76" s="39"/>
    </row>
    <row r="77" spans="1:65" ht="16" x14ac:dyDescent="0.2">
      <c r="A77" s="77">
        <v>61</v>
      </c>
      <c r="B77" s="78">
        <f t="shared" ref="B77:R77" si="143">B$12/(AK76+1)</f>
        <v>0.65517241379310343</v>
      </c>
      <c r="C77" s="78">
        <f t="shared" si="143"/>
        <v>0.66666666666666663</v>
      </c>
      <c r="D77" s="78">
        <f t="shared" si="143"/>
        <v>0</v>
      </c>
      <c r="E77" s="78">
        <f t="shared" si="143"/>
        <v>0</v>
      </c>
      <c r="F77" s="78">
        <f t="shared" si="143"/>
        <v>0</v>
      </c>
      <c r="G77" s="78">
        <f t="shared" si="143"/>
        <v>0</v>
      </c>
      <c r="H77" s="78">
        <f t="shared" si="143"/>
        <v>0</v>
      </c>
      <c r="I77" s="78">
        <f t="shared" si="143"/>
        <v>0</v>
      </c>
      <c r="J77" s="78">
        <f t="shared" si="143"/>
        <v>0</v>
      </c>
      <c r="K77" s="78">
        <f t="shared" si="143"/>
        <v>0</v>
      </c>
      <c r="L77" s="78">
        <f t="shared" si="143"/>
        <v>0</v>
      </c>
      <c r="M77" s="78">
        <f t="shared" si="143"/>
        <v>0</v>
      </c>
      <c r="N77" s="78">
        <f t="shared" si="143"/>
        <v>0</v>
      </c>
      <c r="O77" s="78">
        <f t="shared" si="143"/>
        <v>0</v>
      </c>
      <c r="P77" s="78">
        <f t="shared" si="143"/>
        <v>0</v>
      </c>
      <c r="Q77" s="78">
        <f t="shared" si="143"/>
        <v>0</v>
      </c>
      <c r="R77" s="79">
        <f t="shared" si="143"/>
        <v>0</v>
      </c>
      <c r="S77" s="79">
        <f t="shared" si="5"/>
        <v>0.66666666666666663</v>
      </c>
      <c r="T77" s="80">
        <f t="shared" si="6"/>
        <v>0</v>
      </c>
      <c r="U77" s="80">
        <f t="shared" si="7"/>
        <v>1</v>
      </c>
      <c r="V77" s="80">
        <f t="shared" si="8"/>
        <v>0</v>
      </c>
      <c r="W77" s="80">
        <f t="shared" si="9"/>
        <v>0</v>
      </c>
      <c r="X77" s="80">
        <f t="shared" si="10"/>
        <v>0</v>
      </c>
      <c r="Y77" s="80">
        <f t="shared" si="11"/>
        <v>0</v>
      </c>
      <c r="Z77" s="80">
        <f t="shared" si="12"/>
        <v>0</v>
      </c>
      <c r="AA77" s="80">
        <f t="shared" si="13"/>
        <v>0</v>
      </c>
      <c r="AB77" s="80">
        <f t="shared" si="14"/>
        <v>0</v>
      </c>
      <c r="AC77" s="80">
        <f t="shared" si="15"/>
        <v>0</v>
      </c>
      <c r="AD77" s="80">
        <f t="shared" si="16"/>
        <v>0</v>
      </c>
      <c r="AE77" s="80">
        <f t="shared" si="17"/>
        <v>0</v>
      </c>
      <c r="AF77" s="80">
        <f t="shared" si="18"/>
        <v>0</v>
      </c>
      <c r="AG77" s="80">
        <f t="shared" si="19"/>
        <v>0</v>
      </c>
      <c r="AH77" s="80">
        <f t="shared" si="20"/>
        <v>0</v>
      </c>
      <c r="AI77" s="80">
        <f t="shared" si="21"/>
        <v>0</v>
      </c>
      <c r="AJ77" s="80">
        <f t="shared" si="22"/>
        <v>0</v>
      </c>
      <c r="AK77" s="80">
        <f t="shared" ref="AK77:BA77" si="144">T77+AK76</f>
        <v>28</v>
      </c>
      <c r="AL77" s="81">
        <f t="shared" si="144"/>
        <v>33</v>
      </c>
      <c r="AM77" s="81">
        <f t="shared" si="144"/>
        <v>0</v>
      </c>
      <c r="AN77" s="81">
        <f t="shared" si="144"/>
        <v>0</v>
      </c>
      <c r="AO77" s="81">
        <f t="shared" si="144"/>
        <v>0</v>
      </c>
      <c r="AP77" s="81">
        <f t="shared" si="144"/>
        <v>0</v>
      </c>
      <c r="AQ77" s="81">
        <f t="shared" si="144"/>
        <v>0</v>
      </c>
      <c r="AR77" s="81">
        <f t="shared" si="144"/>
        <v>0</v>
      </c>
      <c r="AS77" s="81">
        <f t="shared" si="144"/>
        <v>0</v>
      </c>
      <c r="AT77" s="81">
        <f t="shared" si="144"/>
        <v>0</v>
      </c>
      <c r="AU77" s="81">
        <f t="shared" si="144"/>
        <v>0</v>
      </c>
      <c r="AV77" s="81">
        <f t="shared" si="144"/>
        <v>0</v>
      </c>
      <c r="AW77" s="81">
        <f t="shared" si="144"/>
        <v>0</v>
      </c>
      <c r="AX77" s="81">
        <f t="shared" si="144"/>
        <v>0</v>
      </c>
      <c r="AY77" s="81">
        <f t="shared" si="144"/>
        <v>0</v>
      </c>
      <c r="AZ77" s="81">
        <f t="shared" si="144"/>
        <v>0</v>
      </c>
      <c r="BA77" s="82">
        <f t="shared" si="144"/>
        <v>0</v>
      </c>
      <c r="BB77" s="39" t="str">
        <f t="shared" si="24"/>
        <v>Liste 2</v>
      </c>
      <c r="BC77" s="39"/>
      <c r="BD77" s="39"/>
      <c r="BE77" s="39"/>
      <c r="BF77" s="39"/>
      <c r="BG77" s="39"/>
      <c r="BH77" s="39"/>
      <c r="BI77" s="39"/>
      <c r="BJ77" s="39"/>
      <c r="BK77" s="39"/>
      <c r="BL77" s="39"/>
      <c r="BM77" s="39"/>
    </row>
    <row r="78" spans="1:65" ht="16" x14ac:dyDescent="0.2">
      <c r="A78" s="77">
        <v>62</v>
      </c>
      <c r="B78" s="78">
        <f t="shared" ref="B78:R78" si="145">B$12/(AK77+1)</f>
        <v>0.65517241379310343</v>
      </c>
      <c r="C78" s="78">
        <f t="shared" si="145"/>
        <v>0.6470588235294118</v>
      </c>
      <c r="D78" s="78">
        <f t="shared" si="145"/>
        <v>0</v>
      </c>
      <c r="E78" s="78">
        <f t="shared" si="145"/>
        <v>0</v>
      </c>
      <c r="F78" s="78">
        <f t="shared" si="145"/>
        <v>0</v>
      </c>
      <c r="G78" s="78">
        <f t="shared" si="145"/>
        <v>0</v>
      </c>
      <c r="H78" s="78">
        <f t="shared" si="145"/>
        <v>0</v>
      </c>
      <c r="I78" s="78">
        <f t="shared" si="145"/>
        <v>0</v>
      </c>
      <c r="J78" s="78">
        <f t="shared" si="145"/>
        <v>0</v>
      </c>
      <c r="K78" s="78">
        <f t="shared" si="145"/>
        <v>0</v>
      </c>
      <c r="L78" s="78">
        <f t="shared" si="145"/>
        <v>0</v>
      </c>
      <c r="M78" s="78">
        <f t="shared" si="145"/>
        <v>0</v>
      </c>
      <c r="N78" s="78">
        <f t="shared" si="145"/>
        <v>0</v>
      </c>
      <c r="O78" s="78">
        <f t="shared" si="145"/>
        <v>0</v>
      </c>
      <c r="P78" s="78">
        <f t="shared" si="145"/>
        <v>0</v>
      </c>
      <c r="Q78" s="78">
        <f t="shared" si="145"/>
        <v>0</v>
      </c>
      <c r="R78" s="79">
        <f t="shared" si="145"/>
        <v>0</v>
      </c>
      <c r="S78" s="79">
        <f t="shared" si="5"/>
        <v>0.65517241379310343</v>
      </c>
      <c r="T78" s="80">
        <f t="shared" si="6"/>
        <v>1</v>
      </c>
      <c r="U78" s="80">
        <f t="shared" si="7"/>
        <v>0</v>
      </c>
      <c r="V78" s="80">
        <f t="shared" si="8"/>
        <v>0</v>
      </c>
      <c r="W78" s="80">
        <f t="shared" si="9"/>
        <v>0</v>
      </c>
      <c r="X78" s="80">
        <f t="shared" si="10"/>
        <v>0</v>
      </c>
      <c r="Y78" s="80">
        <f t="shared" si="11"/>
        <v>0</v>
      </c>
      <c r="Z78" s="80">
        <f t="shared" si="12"/>
        <v>0</v>
      </c>
      <c r="AA78" s="80">
        <f t="shared" si="13"/>
        <v>0</v>
      </c>
      <c r="AB78" s="80">
        <f t="shared" si="14"/>
        <v>0</v>
      </c>
      <c r="AC78" s="80">
        <f t="shared" si="15"/>
        <v>0</v>
      </c>
      <c r="AD78" s="80">
        <f t="shared" si="16"/>
        <v>0</v>
      </c>
      <c r="AE78" s="80">
        <f t="shared" si="17"/>
        <v>0</v>
      </c>
      <c r="AF78" s="80">
        <f t="shared" si="18"/>
        <v>0</v>
      </c>
      <c r="AG78" s="80">
        <f t="shared" si="19"/>
        <v>0</v>
      </c>
      <c r="AH78" s="80">
        <f t="shared" si="20"/>
        <v>0</v>
      </c>
      <c r="AI78" s="80">
        <f t="shared" si="21"/>
        <v>0</v>
      </c>
      <c r="AJ78" s="80">
        <f t="shared" si="22"/>
        <v>0</v>
      </c>
      <c r="AK78" s="80">
        <f t="shared" ref="AK78:BA78" si="146">T78+AK77</f>
        <v>29</v>
      </c>
      <c r="AL78" s="81">
        <f t="shared" si="146"/>
        <v>33</v>
      </c>
      <c r="AM78" s="81">
        <f t="shared" si="146"/>
        <v>0</v>
      </c>
      <c r="AN78" s="81">
        <f t="shared" si="146"/>
        <v>0</v>
      </c>
      <c r="AO78" s="81">
        <f t="shared" si="146"/>
        <v>0</v>
      </c>
      <c r="AP78" s="81">
        <f t="shared" si="146"/>
        <v>0</v>
      </c>
      <c r="AQ78" s="81">
        <f t="shared" si="146"/>
        <v>0</v>
      </c>
      <c r="AR78" s="81">
        <f t="shared" si="146"/>
        <v>0</v>
      </c>
      <c r="AS78" s="81">
        <f t="shared" si="146"/>
        <v>0</v>
      </c>
      <c r="AT78" s="81">
        <f t="shared" si="146"/>
        <v>0</v>
      </c>
      <c r="AU78" s="81">
        <f t="shared" si="146"/>
        <v>0</v>
      </c>
      <c r="AV78" s="81">
        <f t="shared" si="146"/>
        <v>0</v>
      </c>
      <c r="AW78" s="81">
        <f t="shared" si="146"/>
        <v>0</v>
      </c>
      <c r="AX78" s="81">
        <f t="shared" si="146"/>
        <v>0</v>
      </c>
      <c r="AY78" s="81">
        <f t="shared" si="146"/>
        <v>0</v>
      </c>
      <c r="AZ78" s="81">
        <f t="shared" si="146"/>
        <v>0</v>
      </c>
      <c r="BA78" s="82">
        <f t="shared" si="146"/>
        <v>0</v>
      </c>
      <c r="BB78" s="39" t="str">
        <f t="shared" si="24"/>
        <v>Liste 1</v>
      </c>
      <c r="BC78" s="39"/>
      <c r="BD78" s="39"/>
      <c r="BE78" s="39"/>
      <c r="BF78" s="39"/>
      <c r="BG78" s="39"/>
      <c r="BH78" s="39"/>
      <c r="BI78" s="39"/>
      <c r="BJ78" s="39"/>
      <c r="BK78" s="39"/>
      <c r="BL78" s="39"/>
      <c r="BM78" s="39"/>
    </row>
    <row r="79" spans="1:65" ht="16" x14ac:dyDescent="0.2">
      <c r="A79" s="77">
        <v>63</v>
      </c>
      <c r="B79" s="78">
        <f t="shared" ref="B79:R79" si="147">B$12/(AK78+1)</f>
        <v>0.6333333333333333</v>
      </c>
      <c r="C79" s="78">
        <f t="shared" si="147"/>
        <v>0.6470588235294118</v>
      </c>
      <c r="D79" s="78">
        <f t="shared" si="147"/>
        <v>0</v>
      </c>
      <c r="E79" s="78">
        <f t="shared" si="147"/>
        <v>0</v>
      </c>
      <c r="F79" s="78">
        <f t="shared" si="147"/>
        <v>0</v>
      </c>
      <c r="G79" s="78">
        <f t="shared" si="147"/>
        <v>0</v>
      </c>
      <c r="H79" s="78">
        <f t="shared" si="147"/>
        <v>0</v>
      </c>
      <c r="I79" s="78">
        <f t="shared" si="147"/>
        <v>0</v>
      </c>
      <c r="J79" s="78">
        <f t="shared" si="147"/>
        <v>0</v>
      </c>
      <c r="K79" s="78">
        <f t="shared" si="147"/>
        <v>0</v>
      </c>
      <c r="L79" s="78">
        <f t="shared" si="147"/>
        <v>0</v>
      </c>
      <c r="M79" s="78">
        <f t="shared" si="147"/>
        <v>0</v>
      </c>
      <c r="N79" s="78">
        <f t="shared" si="147"/>
        <v>0</v>
      </c>
      <c r="O79" s="78">
        <f t="shared" si="147"/>
        <v>0</v>
      </c>
      <c r="P79" s="78">
        <f t="shared" si="147"/>
        <v>0</v>
      </c>
      <c r="Q79" s="78">
        <f t="shared" si="147"/>
        <v>0</v>
      </c>
      <c r="R79" s="79">
        <f t="shared" si="147"/>
        <v>0</v>
      </c>
      <c r="S79" s="79">
        <f t="shared" si="5"/>
        <v>0.6470588235294118</v>
      </c>
      <c r="T79" s="80">
        <f t="shared" si="6"/>
        <v>0</v>
      </c>
      <c r="U79" s="80">
        <f t="shared" si="7"/>
        <v>1</v>
      </c>
      <c r="V79" s="80">
        <f t="shared" si="8"/>
        <v>0</v>
      </c>
      <c r="W79" s="80">
        <f t="shared" si="9"/>
        <v>0</v>
      </c>
      <c r="X79" s="80">
        <f t="shared" si="10"/>
        <v>0</v>
      </c>
      <c r="Y79" s="80">
        <f t="shared" si="11"/>
        <v>0</v>
      </c>
      <c r="Z79" s="80">
        <f t="shared" si="12"/>
        <v>0</v>
      </c>
      <c r="AA79" s="80">
        <f t="shared" si="13"/>
        <v>0</v>
      </c>
      <c r="AB79" s="80">
        <f t="shared" si="14"/>
        <v>0</v>
      </c>
      <c r="AC79" s="80">
        <f t="shared" si="15"/>
        <v>0</v>
      </c>
      <c r="AD79" s="80">
        <f t="shared" si="16"/>
        <v>0</v>
      </c>
      <c r="AE79" s="80">
        <f t="shared" si="17"/>
        <v>0</v>
      </c>
      <c r="AF79" s="80">
        <f t="shared" si="18"/>
        <v>0</v>
      </c>
      <c r="AG79" s="80">
        <f t="shared" si="19"/>
        <v>0</v>
      </c>
      <c r="AH79" s="80">
        <f t="shared" si="20"/>
        <v>0</v>
      </c>
      <c r="AI79" s="80">
        <f t="shared" si="21"/>
        <v>0</v>
      </c>
      <c r="AJ79" s="80">
        <f t="shared" si="22"/>
        <v>0</v>
      </c>
      <c r="AK79" s="80">
        <f t="shared" ref="AK79:BA79" si="148">T79+AK78</f>
        <v>29</v>
      </c>
      <c r="AL79" s="81">
        <f t="shared" si="148"/>
        <v>34</v>
      </c>
      <c r="AM79" s="81">
        <f t="shared" si="148"/>
        <v>0</v>
      </c>
      <c r="AN79" s="81">
        <f t="shared" si="148"/>
        <v>0</v>
      </c>
      <c r="AO79" s="81">
        <f t="shared" si="148"/>
        <v>0</v>
      </c>
      <c r="AP79" s="81">
        <f t="shared" si="148"/>
        <v>0</v>
      </c>
      <c r="AQ79" s="81">
        <f t="shared" si="148"/>
        <v>0</v>
      </c>
      <c r="AR79" s="81">
        <f t="shared" si="148"/>
        <v>0</v>
      </c>
      <c r="AS79" s="81">
        <f t="shared" si="148"/>
        <v>0</v>
      </c>
      <c r="AT79" s="81">
        <f t="shared" si="148"/>
        <v>0</v>
      </c>
      <c r="AU79" s="81">
        <f t="shared" si="148"/>
        <v>0</v>
      </c>
      <c r="AV79" s="81">
        <f t="shared" si="148"/>
        <v>0</v>
      </c>
      <c r="AW79" s="81">
        <f t="shared" si="148"/>
        <v>0</v>
      </c>
      <c r="AX79" s="81">
        <f t="shared" si="148"/>
        <v>0</v>
      </c>
      <c r="AY79" s="81">
        <f t="shared" si="148"/>
        <v>0</v>
      </c>
      <c r="AZ79" s="81">
        <f t="shared" si="148"/>
        <v>0</v>
      </c>
      <c r="BA79" s="82">
        <f t="shared" si="148"/>
        <v>0</v>
      </c>
      <c r="BB79" s="39" t="str">
        <f t="shared" si="24"/>
        <v>Liste 2</v>
      </c>
      <c r="BC79" s="39"/>
      <c r="BD79" s="39"/>
      <c r="BE79" s="39"/>
      <c r="BF79" s="39"/>
      <c r="BG79" s="39"/>
      <c r="BH79" s="39"/>
      <c r="BI79" s="39"/>
      <c r="BJ79" s="39"/>
      <c r="BK79" s="39"/>
      <c r="BL79" s="39"/>
      <c r="BM79" s="39"/>
    </row>
    <row r="80" spans="1:65" ht="16" x14ac:dyDescent="0.2">
      <c r="A80" s="77">
        <v>64</v>
      </c>
      <c r="B80" s="78">
        <f t="shared" ref="B80:R80" si="149">B$12/(AK79+1)</f>
        <v>0.6333333333333333</v>
      </c>
      <c r="C80" s="78">
        <f t="shared" si="149"/>
        <v>0.62857142857142856</v>
      </c>
      <c r="D80" s="78">
        <f t="shared" si="149"/>
        <v>0</v>
      </c>
      <c r="E80" s="78">
        <f t="shared" si="149"/>
        <v>0</v>
      </c>
      <c r="F80" s="78">
        <f t="shared" si="149"/>
        <v>0</v>
      </c>
      <c r="G80" s="78">
        <f t="shared" si="149"/>
        <v>0</v>
      </c>
      <c r="H80" s="78">
        <f t="shared" si="149"/>
        <v>0</v>
      </c>
      <c r="I80" s="78">
        <f t="shared" si="149"/>
        <v>0</v>
      </c>
      <c r="J80" s="78">
        <f t="shared" si="149"/>
        <v>0</v>
      </c>
      <c r="K80" s="78">
        <f t="shared" si="149"/>
        <v>0</v>
      </c>
      <c r="L80" s="78">
        <f t="shared" si="149"/>
        <v>0</v>
      </c>
      <c r="M80" s="78">
        <f t="shared" si="149"/>
        <v>0</v>
      </c>
      <c r="N80" s="78">
        <f t="shared" si="149"/>
        <v>0</v>
      </c>
      <c r="O80" s="78">
        <f t="shared" si="149"/>
        <v>0</v>
      </c>
      <c r="P80" s="78">
        <f t="shared" si="149"/>
        <v>0</v>
      </c>
      <c r="Q80" s="78">
        <f t="shared" si="149"/>
        <v>0</v>
      </c>
      <c r="R80" s="79">
        <f t="shared" si="149"/>
        <v>0</v>
      </c>
      <c r="S80" s="79">
        <f t="shared" si="5"/>
        <v>0.6333333333333333</v>
      </c>
      <c r="T80" s="80">
        <f t="shared" si="6"/>
        <v>1</v>
      </c>
      <c r="U80" s="80">
        <f t="shared" si="7"/>
        <v>0</v>
      </c>
      <c r="V80" s="80">
        <f t="shared" si="8"/>
        <v>0</v>
      </c>
      <c r="W80" s="80">
        <f t="shared" si="9"/>
        <v>0</v>
      </c>
      <c r="X80" s="80">
        <f t="shared" si="10"/>
        <v>0</v>
      </c>
      <c r="Y80" s="80">
        <f t="shared" si="11"/>
        <v>0</v>
      </c>
      <c r="Z80" s="80">
        <f t="shared" si="12"/>
        <v>0</v>
      </c>
      <c r="AA80" s="80">
        <f t="shared" si="13"/>
        <v>0</v>
      </c>
      <c r="AB80" s="80">
        <f t="shared" si="14"/>
        <v>0</v>
      </c>
      <c r="AC80" s="80">
        <f t="shared" si="15"/>
        <v>0</v>
      </c>
      <c r="AD80" s="80">
        <f t="shared" si="16"/>
        <v>0</v>
      </c>
      <c r="AE80" s="80">
        <f t="shared" si="17"/>
        <v>0</v>
      </c>
      <c r="AF80" s="80">
        <f t="shared" si="18"/>
        <v>0</v>
      </c>
      <c r="AG80" s="80">
        <f t="shared" si="19"/>
        <v>0</v>
      </c>
      <c r="AH80" s="80">
        <f t="shared" si="20"/>
        <v>0</v>
      </c>
      <c r="AI80" s="80">
        <f t="shared" si="21"/>
        <v>0</v>
      </c>
      <c r="AJ80" s="80">
        <f t="shared" si="22"/>
        <v>0</v>
      </c>
      <c r="AK80" s="80">
        <f t="shared" ref="AK80:BA80" si="150">T80+AK79</f>
        <v>30</v>
      </c>
      <c r="AL80" s="81">
        <f t="shared" si="150"/>
        <v>34</v>
      </c>
      <c r="AM80" s="81">
        <f t="shared" si="150"/>
        <v>0</v>
      </c>
      <c r="AN80" s="81">
        <f t="shared" si="150"/>
        <v>0</v>
      </c>
      <c r="AO80" s="81">
        <f t="shared" si="150"/>
        <v>0</v>
      </c>
      <c r="AP80" s="81">
        <f t="shared" si="150"/>
        <v>0</v>
      </c>
      <c r="AQ80" s="81">
        <f t="shared" si="150"/>
        <v>0</v>
      </c>
      <c r="AR80" s="81">
        <f t="shared" si="150"/>
        <v>0</v>
      </c>
      <c r="AS80" s="81">
        <f t="shared" si="150"/>
        <v>0</v>
      </c>
      <c r="AT80" s="81">
        <f t="shared" si="150"/>
        <v>0</v>
      </c>
      <c r="AU80" s="81">
        <f t="shared" si="150"/>
        <v>0</v>
      </c>
      <c r="AV80" s="81">
        <f t="shared" si="150"/>
        <v>0</v>
      </c>
      <c r="AW80" s="81">
        <f t="shared" si="150"/>
        <v>0</v>
      </c>
      <c r="AX80" s="81">
        <f t="shared" si="150"/>
        <v>0</v>
      </c>
      <c r="AY80" s="81">
        <f t="shared" si="150"/>
        <v>0</v>
      </c>
      <c r="AZ80" s="81">
        <f t="shared" si="150"/>
        <v>0</v>
      </c>
      <c r="BA80" s="82">
        <f t="shared" si="150"/>
        <v>0</v>
      </c>
      <c r="BB80" s="39" t="str">
        <f t="shared" si="24"/>
        <v>Liste 1</v>
      </c>
      <c r="BC80" s="39"/>
      <c r="BD80" s="39"/>
      <c r="BE80" s="39"/>
      <c r="BF80" s="39"/>
      <c r="BG80" s="39"/>
      <c r="BH80" s="39"/>
      <c r="BI80" s="39"/>
      <c r="BJ80" s="39"/>
      <c r="BK80" s="39"/>
      <c r="BL80" s="39"/>
      <c r="BM80" s="39"/>
    </row>
    <row r="81" spans="1:65" ht="16" x14ac:dyDescent="0.2">
      <c r="A81" s="77">
        <v>65</v>
      </c>
      <c r="B81" s="78">
        <f t="shared" ref="B81:R81" si="151">B$12/(AK80+1)</f>
        <v>0.61290322580645162</v>
      </c>
      <c r="C81" s="78">
        <f t="shared" si="151"/>
        <v>0.62857142857142856</v>
      </c>
      <c r="D81" s="78">
        <f t="shared" si="151"/>
        <v>0</v>
      </c>
      <c r="E81" s="78">
        <f t="shared" si="151"/>
        <v>0</v>
      </c>
      <c r="F81" s="78">
        <f t="shared" si="151"/>
        <v>0</v>
      </c>
      <c r="G81" s="78">
        <f t="shared" si="151"/>
        <v>0</v>
      </c>
      <c r="H81" s="78">
        <f t="shared" si="151"/>
        <v>0</v>
      </c>
      <c r="I81" s="78">
        <f t="shared" si="151"/>
        <v>0</v>
      </c>
      <c r="J81" s="78">
        <f t="shared" si="151"/>
        <v>0</v>
      </c>
      <c r="K81" s="78">
        <f t="shared" si="151"/>
        <v>0</v>
      </c>
      <c r="L81" s="78">
        <f t="shared" si="151"/>
        <v>0</v>
      </c>
      <c r="M81" s="78">
        <f t="shared" si="151"/>
        <v>0</v>
      </c>
      <c r="N81" s="78">
        <f t="shared" si="151"/>
        <v>0</v>
      </c>
      <c r="O81" s="78">
        <f t="shared" si="151"/>
        <v>0</v>
      </c>
      <c r="P81" s="78">
        <f t="shared" si="151"/>
        <v>0</v>
      </c>
      <c r="Q81" s="78">
        <f t="shared" si="151"/>
        <v>0</v>
      </c>
      <c r="R81" s="79">
        <f t="shared" si="151"/>
        <v>0</v>
      </c>
      <c r="S81" s="79">
        <f t="shared" si="5"/>
        <v>0.62857142857142856</v>
      </c>
      <c r="T81" s="80">
        <f t="shared" si="6"/>
        <v>0</v>
      </c>
      <c r="U81" s="80">
        <f t="shared" si="7"/>
        <v>1</v>
      </c>
      <c r="V81" s="80">
        <f t="shared" si="8"/>
        <v>0</v>
      </c>
      <c r="W81" s="80">
        <f t="shared" si="9"/>
        <v>0</v>
      </c>
      <c r="X81" s="80">
        <f t="shared" si="10"/>
        <v>0</v>
      </c>
      <c r="Y81" s="80">
        <f t="shared" si="11"/>
        <v>0</v>
      </c>
      <c r="Z81" s="80">
        <f t="shared" si="12"/>
        <v>0</v>
      </c>
      <c r="AA81" s="80">
        <f t="shared" si="13"/>
        <v>0</v>
      </c>
      <c r="AB81" s="80">
        <f t="shared" si="14"/>
        <v>0</v>
      </c>
      <c r="AC81" s="80">
        <f t="shared" si="15"/>
        <v>0</v>
      </c>
      <c r="AD81" s="80">
        <f t="shared" si="16"/>
        <v>0</v>
      </c>
      <c r="AE81" s="80">
        <f t="shared" si="17"/>
        <v>0</v>
      </c>
      <c r="AF81" s="80">
        <f t="shared" si="18"/>
        <v>0</v>
      </c>
      <c r="AG81" s="80">
        <f t="shared" si="19"/>
        <v>0</v>
      </c>
      <c r="AH81" s="80">
        <f t="shared" si="20"/>
        <v>0</v>
      </c>
      <c r="AI81" s="80">
        <f t="shared" si="21"/>
        <v>0</v>
      </c>
      <c r="AJ81" s="80">
        <f t="shared" si="22"/>
        <v>0</v>
      </c>
      <c r="AK81" s="80">
        <f t="shared" ref="AK81:BA81" si="152">T81+AK80</f>
        <v>30</v>
      </c>
      <c r="AL81" s="81">
        <f t="shared" si="152"/>
        <v>35</v>
      </c>
      <c r="AM81" s="81">
        <f t="shared" si="152"/>
        <v>0</v>
      </c>
      <c r="AN81" s="81">
        <f t="shared" si="152"/>
        <v>0</v>
      </c>
      <c r="AO81" s="81">
        <f t="shared" si="152"/>
        <v>0</v>
      </c>
      <c r="AP81" s="81">
        <f t="shared" si="152"/>
        <v>0</v>
      </c>
      <c r="AQ81" s="81">
        <f t="shared" si="152"/>
        <v>0</v>
      </c>
      <c r="AR81" s="81">
        <f t="shared" si="152"/>
        <v>0</v>
      </c>
      <c r="AS81" s="81">
        <f t="shared" si="152"/>
        <v>0</v>
      </c>
      <c r="AT81" s="81">
        <f t="shared" si="152"/>
        <v>0</v>
      </c>
      <c r="AU81" s="81">
        <f t="shared" si="152"/>
        <v>0</v>
      </c>
      <c r="AV81" s="81">
        <f t="shared" si="152"/>
        <v>0</v>
      </c>
      <c r="AW81" s="81">
        <f t="shared" si="152"/>
        <v>0</v>
      </c>
      <c r="AX81" s="81">
        <f t="shared" si="152"/>
        <v>0</v>
      </c>
      <c r="AY81" s="81">
        <f t="shared" si="152"/>
        <v>0</v>
      </c>
      <c r="AZ81" s="81">
        <f t="shared" si="152"/>
        <v>0</v>
      </c>
      <c r="BA81" s="82">
        <f t="shared" si="152"/>
        <v>0</v>
      </c>
      <c r="BB81" s="39" t="str">
        <f t="shared" si="24"/>
        <v>Liste 2</v>
      </c>
      <c r="BC81" s="39"/>
      <c r="BD81" s="39"/>
      <c r="BE81" s="39"/>
      <c r="BF81" s="39"/>
      <c r="BG81" s="39"/>
      <c r="BH81" s="39"/>
      <c r="BI81" s="39"/>
      <c r="BJ81" s="39"/>
      <c r="BK81" s="39"/>
      <c r="BL81" s="39"/>
      <c r="BM81" s="39"/>
    </row>
    <row r="82" spans="1:65" ht="16" x14ac:dyDescent="0.2">
      <c r="A82" s="77">
        <v>66</v>
      </c>
      <c r="B82" s="78">
        <f t="shared" ref="B82:R82" si="153">B$12/(AK81+1)</f>
        <v>0.61290322580645162</v>
      </c>
      <c r="C82" s="78">
        <f t="shared" si="153"/>
        <v>0.61111111111111116</v>
      </c>
      <c r="D82" s="78">
        <f t="shared" si="153"/>
        <v>0</v>
      </c>
      <c r="E82" s="78">
        <f t="shared" si="153"/>
        <v>0</v>
      </c>
      <c r="F82" s="78">
        <f t="shared" si="153"/>
        <v>0</v>
      </c>
      <c r="G82" s="78">
        <f t="shared" si="153"/>
        <v>0</v>
      </c>
      <c r="H82" s="78">
        <f t="shared" si="153"/>
        <v>0</v>
      </c>
      <c r="I82" s="78">
        <f t="shared" si="153"/>
        <v>0</v>
      </c>
      <c r="J82" s="78">
        <f t="shared" si="153"/>
        <v>0</v>
      </c>
      <c r="K82" s="78">
        <f t="shared" si="153"/>
        <v>0</v>
      </c>
      <c r="L82" s="78">
        <f t="shared" si="153"/>
        <v>0</v>
      </c>
      <c r="M82" s="78">
        <f t="shared" si="153"/>
        <v>0</v>
      </c>
      <c r="N82" s="78">
        <f t="shared" si="153"/>
        <v>0</v>
      </c>
      <c r="O82" s="78">
        <f t="shared" si="153"/>
        <v>0</v>
      </c>
      <c r="P82" s="78">
        <f t="shared" si="153"/>
        <v>0</v>
      </c>
      <c r="Q82" s="78">
        <f t="shared" si="153"/>
        <v>0</v>
      </c>
      <c r="R82" s="79">
        <f t="shared" si="153"/>
        <v>0</v>
      </c>
      <c r="S82" s="79">
        <f t="shared" si="5"/>
        <v>0.61290322580645162</v>
      </c>
      <c r="T82" s="80">
        <f t="shared" si="6"/>
        <v>1</v>
      </c>
      <c r="U82" s="80">
        <f t="shared" si="7"/>
        <v>0</v>
      </c>
      <c r="V82" s="80">
        <f t="shared" si="8"/>
        <v>0</v>
      </c>
      <c r="W82" s="80">
        <f t="shared" si="9"/>
        <v>0</v>
      </c>
      <c r="X82" s="80">
        <f t="shared" si="10"/>
        <v>0</v>
      </c>
      <c r="Y82" s="80">
        <f t="shared" si="11"/>
        <v>0</v>
      </c>
      <c r="Z82" s="80">
        <f t="shared" si="12"/>
        <v>0</v>
      </c>
      <c r="AA82" s="80">
        <f t="shared" si="13"/>
        <v>0</v>
      </c>
      <c r="AB82" s="80">
        <f t="shared" si="14"/>
        <v>0</v>
      </c>
      <c r="AC82" s="80">
        <f t="shared" si="15"/>
        <v>0</v>
      </c>
      <c r="AD82" s="80">
        <f t="shared" si="16"/>
        <v>0</v>
      </c>
      <c r="AE82" s="80">
        <f t="shared" si="17"/>
        <v>0</v>
      </c>
      <c r="AF82" s="80">
        <f t="shared" si="18"/>
        <v>0</v>
      </c>
      <c r="AG82" s="80">
        <f t="shared" si="19"/>
        <v>0</v>
      </c>
      <c r="AH82" s="80">
        <f t="shared" si="20"/>
        <v>0</v>
      </c>
      <c r="AI82" s="80">
        <f t="shared" si="21"/>
        <v>0</v>
      </c>
      <c r="AJ82" s="80">
        <f t="shared" si="22"/>
        <v>0</v>
      </c>
      <c r="AK82" s="80">
        <f t="shared" ref="AK82:BA82" si="154">T82+AK81</f>
        <v>31</v>
      </c>
      <c r="AL82" s="81">
        <f t="shared" si="154"/>
        <v>35</v>
      </c>
      <c r="AM82" s="81">
        <f t="shared" si="154"/>
        <v>0</v>
      </c>
      <c r="AN82" s="81">
        <f t="shared" si="154"/>
        <v>0</v>
      </c>
      <c r="AO82" s="81">
        <f t="shared" si="154"/>
        <v>0</v>
      </c>
      <c r="AP82" s="81">
        <f t="shared" si="154"/>
        <v>0</v>
      </c>
      <c r="AQ82" s="81">
        <f t="shared" si="154"/>
        <v>0</v>
      </c>
      <c r="AR82" s="81">
        <f t="shared" si="154"/>
        <v>0</v>
      </c>
      <c r="AS82" s="81">
        <f t="shared" si="154"/>
        <v>0</v>
      </c>
      <c r="AT82" s="81">
        <f t="shared" si="154"/>
        <v>0</v>
      </c>
      <c r="AU82" s="81">
        <f t="shared" si="154"/>
        <v>0</v>
      </c>
      <c r="AV82" s="81">
        <f t="shared" si="154"/>
        <v>0</v>
      </c>
      <c r="AW82" s="81">
        <f t="shared" si="154"/>
        <v>0</v>
      </c>
      <c r="AX82" s="81">
        <f t="shared" si="154"/>
        <v>0</v>
      </c>
      <c r="AY82" s="81">
        <f t="shared" si="154"/>
        <v>0</v>
      </c>
      <c r="AZ82" s="81">
        <f t="shared" si="154"/>
        <v>0</v>
      </c>
      <c r="BA82" s="82">
        <f t="shared" si="154"/>
        <v>0</v>
      </c>
      <c r="BB82" s="39" t="str">
        <f t="shared" si="24"/>
        <v>Liste 1</v>
      </c>
      <c r="BC82" s="39"/>
      <c r="BD82" s="39"/>
      <c r="BE82" s="39"/>
      <c r="BF82" s="39"/>
      <c r="BG82" s="39"/>
      <c r="BH82" s="39"/>
      <c r="BI82" s="39"/>
      <c r="BJ82" s="39"/>
      <c r="BK82" s="39"/>
      <c r="BL82" s="39"/>
      <c r="BM82" s="39"/>
    </row>
    <row r="83" spans="1:65" ht="16" x14ac:dyDescent="0.2">
      <c r="A83" s="77">
        <v>67</v>
      </c>
      <c r="B83" s="78">
        <f t="shared" ref="B83:R83" si="155">B$12/(AK82+1)</f>
        <v>0.59375</v>
      </c>
      <c r="C83" s="78">
        <f t="shared" si="155"/>
        <v>0.61111111111111116</v>
      </c>
      <c r="D83" s="78">
        <f t="shared" si="155"/>
        <v>0</v>
      </c>
      <c r="E83" s="78">
        <f t="shared" si="155"/>
        <v>0</v>
      </c>
      <c r="F83" s="78">
        <f t="shared" si="155"/>
        <v>0</v>
      </c>
      <c r="G83" s="78">
        <f t="shared" si="155"/>
        <v>0</v>
      </c>
      <c r="H83" s="78">
        <f t="shared" si="155"/>
        <v>0</v>
      </c>
      <c r="I83" s="78">
        <f t="shared" si="155"/>
        <v>0</v>
      </c>
      <c r="J83" s="78">
        <f t="shared" si="155"/>
        <v>0</v>
      </c>
      <c r="K83" s="78">
        <f t="shared" si="155"/>
        <v>0</v>
      </c>
      <c r="L83" s="78">
        <f t="shared" si="155"/>
        <v>0</v>
      </c>
      <c r="M83" s="78">
        <f t="shared" si="155"/>
        <v>0</v>
      </c>
      <c r="N83" s="78">
        <f t="shared" si="155"/>
        <v>0</v>
      </c>
      <c r="O83" s="78">
        <f t="shared" si="155"/>
        <v>0</v>
      </c>
      <c r="P83" s="78">
        <f t="shared" si="155"/>
        <v>0</v>
      </c>
      <c r="Q83" s="78">
        <f t="shared" si="155"/>
        <v>0</v>
      </c>
      <c r="R83" s="79">
        <f t="shared" si="155"/>
        <v>0</v>
      </c>
      <c r="S83" s="79">
        <f t="shared" si="5"/>
        <v>0.61111111111111116</v>
      </c>
      <c r="T83" s="80">
        <f t="shared" si="6"/>
        <v>0</v>
      </c>
      <c r="U83" s="80">
        <f t="shared" si="7"/>
        <v>1</v>
      </c>
      <c r="V83" s="80">
        <f t="shared" si="8"/>
        <v>0</v>
      </c>
      <c r="W83" s="80">
        <f t="shared" si="9"/>
        <v>0</v>
      </c>
      <c r="X83" s="80">
        <f t="shared" si="10"/>
        <v>0</v>
      </c>
      <c r="Y83" s="80">
        <f t="shared" si="11"/>
        <v>0</v>
      </c>
      <c r="Z83" s="80">
        <f t="shared" si="12"/>
        <v>0</v>
      </c>
      <c r="AA83" s="80">
        <f t="shared" si="13"/>
        <v>0</v>
      </c>
      <c r="AB83" s="80">
        <f t="shared" si="14"/>
        <v>0</v>
      </c>
      <c r="AC83" s="80">
        <f t="shared" si="15"/>
        <v>0</v>
      </c>
      <c r="AD83" s="80">
        <f t="shared" si="16"/>
        <v>0</v>
      </c>
      <c r="AE83" s="80">
        <f t="shared" si="17"/>
        <v>0</v>
      </c>
      <c r="AF83" s="80">
        <f t="shared" si="18"/>
        <v>0</v>
      </c>
      <c r="AG83" s="80">
        <f t="shared" si="19"/>
        <v>0</v>
      </c>
      <c r="AH83" s="80">
        <f t="shared" si="20"/>
        <v>0</v>
      </c>
      <c r="AI83" s="80">
        <f t="shared" si="21"/>
        <v>0</v>
      </c>
      <c r="AJ83" s="80">
        <f t="shared" si="22"/>
        <v>0</v>
      </c>
      <c r="AK83" s="80">
        <f t="shared" ref="AK83:BA83" si="156">T83+AK82</f>
        <v>31</v>
      </c>
      <c r="AL83" s="81">
        <f t="shared" si="156"/>
        <v>36</v>
      </c>
      <c r="AM83" s="81">
        <f t="shared" si="156"/>
        <v>0</v>
      </c>
      <c r="AN83" s="81">
        <f t="shared" si="156"/>
        <v>0</v>
      </c>
      <c r="AO83" s="81">
        <f t="shared" si="156"/>
        <v>0</v>
      </c>
      <c r="AP83" s="81">
        <f t="shared" si="156"/>
        <v>0</v>
      </c>
      <c r="AQ83" s="81">
        <f t="shared" si="156"/>
        <v>0</v>
      </c>
      <c r="AR83" s="81">
        <f t="shared" si="156"/>
        <v>0</v>
      </c>
      <c r="AS83" s="81">
        <f t="shared" si="156"/>
        <v>0</v>
      </c>
      <c r="AT83" s="81">
        <f t="shared" si="156"/>
        <v>0</v>
      </c>
      <c r="AU83" s="81">
        <f t="shared" si="156"/>
        <v>0</v>
      </c>
      <c r="AV83" s="81">
        <f t="shared" si="156"/>
        <v>0</v>
      </c>
      <c r="AW83" s="81">
        <f t="shared" si="156"/>
        <v>0</v>
      </c>
      <c r="AX83" s="81">
        <f t="shared" si="156"/>
        <v>0</v>
      </c>
      <c r="AY83" s="81">
        <f t="shared" si="156"/>
        <v>0</v>
      </c>
      <c r="AZ83" s="81">
        <f t="shared" si="156"/>
        <v>0</v>
      </c>
      <c r="BA83" s="82">
        <f t="shared" si="156"/>
        <v>0</v>
      </c>
      <c r="BB83" s="39" t="str">
        <f t="shared" si="24"/>
        <v>Liste 2</v>
      </c>
      <c r="BC83" s="39"/>
      <c r="BD83" s="39"/>
      <c r="BE83" s="39"/>
      <c r="BF83" s="39"/>
      <c r="BG83" s="39"/>
      <c r="BH83" s="39"/>
      <c r="BI83" s="39"/>
      <c r="BJ83" s="39"/>
      <c r="BK83" s="39"/>
      <c r="BL83" s="39"/>
      <c r="BM83" s="39"/>
    </row>
    <row r="84" spans="1:65" ht="16" x14ac:dyDescent="0.2">
      <c r="A84" s="77">
        <v>68</v>
      </c>
      <c r="B84" s="78">
        <f t="shared" ref="B84:R84" si="157">B$12/(AK83+1)</f>
        <v>0.59375</v>
      </c>
      <c r="C84" s="78">
        <f t="shared" si="157"/>
        <v>0.59459459459459463</v>
      </c>
      <c r="D84" s="78">
        <f t="shared" si="157"/>
        <v>0</v>
      </c>
      <c r="E84" s="78">
        <f t="shared" si="157"/>
        <v>0</v>
      </c>
      <c r="F84" s="78">
        <f t="shared" si="157"/>
        <v>0</v>
      </c>
      <c r="G84" s="78">
        <f t="shared" si="157"/>
        <v>0</v>
      </c>
      <c r="H84" s="78">
        <f t="shared" si="157"/>
        <v>0</v>
      </c>
      <c r="I84" s="78">
        <f t="shared" si="157"/>
        <v>0</v>
      </c>
      <c r="J84" s="78">
        <f t="shared" si="157"/>
        <v>0</v>
      </c>
      <c r="K84" s="78">
        <f t="shared" si="157"/>
        <v>0</v>
      </c>
      <c r="L84" s="78">
        <f t="shared" si="157"/>
        <v>0</v>
      </c>
      <c r="M84" s="78">
        <f t="shared" si="157"/>
        <v>0</v>
      </c>
      <c r="N84" s="78">
        <f t="shared" si="157"/>
        <v>0</v>
      </c>
      <c r="O84" s="78">
        <f t="shared" si="157"/>
        <v>0</v>
      </c>
      <c r="P84" s="78">
        <f t="shared" si="157"/>
        <v>0</v>
      </c>
      <c r="Q84" s="78">
        <f t="shared" si="157"/>
        <v>0</v>
      </c>
      <c r="R84" s="79">
        <f t="shared" si="157"/>
        <v>0</v>
      </c>
      <c r="S84" s="79">
        <f t="shared" si="5"/>
        <v>0.59459459459459463</v>
      </c>
      <c r="T84" s="80">
        <f t="shared" si="6"/>
        <v>0</v>
      </c>
      <c r="U84" s="80">
        <f t="shared" si="7"/>
        <v>1</v>
      </c>
      <c r="V84" s="80">
        <f t="shared" si="8"/>
        <v>0</v>
      </c>
      <c r="W84" s="80">
        <f t="shared" si="9"/>
        <v>0</v>
      </c>
      <c r="X84" s="80">
        <f t="shared" si="10"/>
        <v>0</v>
      </c>
      <c r="Y84" s="80">
        <f t="shared" si="11"/>
        <v>0</v>
      </c>
      <c r="Z84" s="80">
        <f t="shared" si="12"/>
        <v>0</v>
      </c>
      <c r="AA84" s="80">
        <f t="shared" si="13"/>
        <v>0</v>
      </c>
      <c r="AB84" s="80">
        <f t="shared" si="14"/>
        <v>0</v>
      </c>
      <c r="AC84" s="80">
        <f t="shared" si="15"/>
        <v>0</v>
      </c>
      <c r="AD84" s="80">
        <f t="shared" si="16"/>
        <v>0</v>
      </c>
      <c r="AE84" s="80">
        <f t="shared" si="17"/>
        <v>0</v>
      </c>
      <c r="AF84" s="80">
        <f t="shared" si="18"/>
        <v>0</v>
      </c>
      <c r="AG84" s="80">
        <f t="shared" si="19"/>
        <v>0</v>
      </c>
      <c r="AH84" s="80">
        <f t="shared" si="20"/>
        <v>0</v>
      </c>
      <c r="AI84" s="80">
        <f t="shared" si="21"/>
        <v>0</v>
      </c>
      <c r="AJ84" s="80">
        <f t="shared" si="22"/>
        <v>0</v>
      </c>
      <c r="AK84" s="80">
        <f t="shared" ref="AK84:BA84" si="158">T84+AK83</f>
        <v>31</v>
      </c>
      <c r="AL84" s="81">
        <f t="shared" si="158"/>
        <v>37</v>
      </c>
      <c r="AM84" s="81">
        <f t="shared" si="158"/>
        <v>0</v>
      </c>
      <c r="AN84" s="81">
        <f t="shared" si="158"/>
        <v>0</v>
      </c>
      <c r="AO84" s="81">
        <f t="shared" si="158"/>
        <v>0</v>
      </c>
      <c r="AP84" s="81">
        <f t="shared" si="158"/>
        <v>0</v>
      </c>
      <c r="AQ84" s="81">
        <f t="shared" si="158"/>
        <v>0</v>
      </c>
      <c r="AR84" s="81">
        <f t="shared" si="158"/>
        <v>0</v>
      </c>
      <c r="AS84" s="81">
        <f t="shared" si="158"/>
        <v>0</v>
      </c>
      <c r="AT84" s="81">
        <f t="shared" si="158"/>
        <v>0</v>
      </c>
      <c r="AU84" s="81">
        <f t="shared" si="158"/>
        <v>0</v>
      </c>
      <c r="AV84" s="81">
        <f t="shared" si="158"/>
        <v>0</v>
      </c>
      <c r="AW84" s="81">
        <f t="shared" si="158"/>
        <v>0</v>
      </c>
      <c r="AX84" s="81">
        <f t="shared" si="158"/>
        <v>0</v>
      </c>
      <c r="AY84" s="81">
        <f t="shared" si="158"/>
        <v>0</v>
      </c>
      <c r="AZ84" s="81">
        <f t="shared" si="158"/>
        <v>0</v>
      </c>
      <c r="BA84" s="82">
        <f t="shared" si="158"/>
        <v>0</v>
      </c>
      <c r="BB84" s="39" t="str">
        <f t="shared" si="24"/>
        <v>Liste 2</v>
      </c>
      <c r="BC84" s="39"/>
      <c r="BD84" s="39"/>
      <c r="BE84" s="39"/>
      <c r="BF84" s="39"/>
      <c r="BG84" s="39"/>
      <c r="BH84" s="39"/>
      <c r="BI84" s="39"/>
      <c r="BJ84" s="39"/>
      <c r="BK84" s="39"/>
      <c r="BL84" s="39"/>
      <c r="BM84" s="39"/>
    </row>
    <row r="85" spans="1:65" ht="16" x14ac:dyDescent="0.2">
      <c r="A85" s="77">
        <v>69</v>
      </c>
      <c r="B85" s="78">
        <f t="shared" ref="B85:R85" si="159">B$12/(AK84+1)</f>
        <v>0.59375</v>
      </c>
      <c r="C85" s="78">
        <f t="shared" si="159"/>
        <v>0.57894736842105265</v>
      </c>
      <c r="D85" s="78">
        <f t="shared" si="159"/>
        <v>0</v>
      </c>
      <c r="E85" s="78">
        <f t="shared" si="159"/>
        <v>0</v>
      </c>
      <c r="F85" s="78">
        <f t="shared" si="159"/>
        <v>0</v>
      </c>
      <c r="G85" s="78">
        <f t="shared" si="159"/>
        <v>0</v>
      </c>
      <c r="H85" s="78">
        <f t="shared" si="159"/>
        <v>0</v>
      </c>
      <c r="I85" s="78">
        <f t="shared" si="159"/>
        <v>0</v>
      </c>
      <c r="J85" s="78">
        <f t="shared" si="159"/>
        <v>0</v>
      </c>
      <c r="K85" s="78">
        <f t="shared" si="159"/>
        <v>0</v>
      </c>
      <c r="L85" s="78">
        <f t="shared" si="159"/>
        <v>0</v>
      </c>
      <c r="M85" s="78">
        <f t="shared" si="159"/>
        <v>0</v>
      </c>
      <c r="N85" s="78">
        <f t="shared" si="159"/>
        <v>0</v>
      </c>
      <c r="O85" s="78">
        <f t="shared" si="159"/>
        <v>0</v>
      </c>
      <c r="P85" s="78">
        <f t="shared" si="159"/>
        <v>0</v>
      </c>
      <c r="Q85" s="78">
        <f t="shared" si="159"/>
        <v>0</v>
      </c>
      <c r="R85" s="79">
        <f t="shared" si="159"/>
        <v>0</v>
      </c>
      <c r="S85" s="79">
        <f t="shared" si="5"/>
        <v>0.59375</v>
      </c>
      <c r="T85" s="80">
        <f t="shared" si="6"/>
        <v>1</v>
      </c>
      <c r="U85" s="80">
        <f t="shared" si="7"/>
        <v>0</v>
      </c>
      <c r="V85" s="80">
        <f t="shared" si="8"/>
        <v>0</v>
      </c>
      <c r="W85" s="80">
        <f t="shared" si="9"/>
        <v>0</v>
      </c>
      <c r="X85" s="80">
        <f t="shared" si="10"/>
        <v>0</v>
      </c>
      <c r="Y85" s="80">
        <f t="shared" si="11"/>
        <v>0</v>
      </c>
      <c r="Z85" s="80">
        <f t="shared" si="12"/>
        <v>0</v>
      </c>
      <c r="AA85" s="80">
        <f t="shared" si="13"/>
        <v>0</v>
      </c>
      <c r="AB85" s="80">
        <f t="shared" si="14"/>
        <v>0</v>
      </c>
      <c r="AC85" s="80">
        <f t="shared" si="15"/>
        <v>0</v>
      </c>
      <c r="AD85" s="80">
        <f t="shared" si="16"/>
        <v>0</v>
      </c>
      <c r="AE85" s="80">
        <f t="shared" si="17"/>
        <v>0</v>
      </c>
      <c r="AF85" s="80">
        <f t="shared" si="18"/>
        <v>0</v>
      </c>
      <c r="AG85" s="80">
        <f t="shared" si="19"/>
        <v>0</v>
      </c>
      <c r="AH85" s="80">
        <f t="shared" si="20"/>
        <v>0</v>
      </c>
      <c r="AI85" s="80">
        <f t="shared" si="21"/>
        <v>0</v>
      </c>
      <c r="AJ85" s="80">
        <f t="shared" si="22"/>
        <v>0</v>
      </c>
      <c r="AK85" s="80">
        <f t="shared" ref="AK85:BA85" si="160">T85+AK84</f>
        <v>32</v>
      </c>
      <c r="AL85" s="81">
        <f t="shared" si="160"/>
        <v>37</v>
      </c>
      <c r="AM85" s="81">
        <f t="shared" si="160"/>
        <v>0</v>
      </c>
      <c r="AN85" s="81">
        <f t="shared" si="160"/>
        <v>0</v>
      </c>
      <c r="AO85" s="81">
        <f t="shared" si="160"/>
        <v>0</v>
      </c>
      <c r="AP85" s="81">
        <f t="shared" si="160"/>
        <v>0</v>
      </c>
      <c r="AQ85" s="81">
        <f t="shared" si="160"/>
        <v>0</v>
      </c>
      <c r="AR85" s="81">
        <f t="shared" si="160"/>
        <v>0</v>
      </c>
      <c r="AS85" s="81">
        <f t="shared" si="160"/>
        <v>0</v>
      </c>
      <c r="AT85" s="81">
        <f t="shared" si="160"/>
        <v>0</v>
      </c>
      <c r="AU85" s="81">
        <f t="shared" si="160"/>
        <v>0</v>
      </c>
      <c r="AV85" s="81">
        <f t="shared" si="160"/>
        <v>0</v>
      </c>
      <c r="AW85" s="81">
        <f t="shared" si="160"/>
        <v>0</v>
      </c>
      <c r="AX85" s="81">
        <f t="shared" si="160"/>
        <v>0</v>
      </c>
      <c r="AY85" s="81">
        <f t="shared" si="160"/>
        <v>0</v>
      </c>
      <c r="AZ85" s="81">
        <f t="shared" si="160"/>
        <v>0</v>
      </c>
      <c r="BA85" s="82">
        <f t="shared" si="160"/>
        <v>0</v>
      </c>
      <c r="BB85" s="39" t="str">
        <f t="shared" si="24"/>
        <v>Liste 1</v>
      </c>
      <c r="BC85" s="39"/>
      <c r="BD85" s="39"/>
      <c r="BE85" s="39"/>
      <c r="BF85" s="39"/>
      <c r="BG85" s="39"/>
      <c r="BH85" s="39"/>
      <c r="BI85" s="39"/>
      <c r="BJ85" s="39"/>
      <c r="BK85" s="39"/>
      <c r="BL85" s="39"/>
      <c r="BM85" s="39"/>
    </row>
    <row r="86" spans="1:65" ht="16" x14ac:dyDescent="0.2">
      <c r="A86" s="77">
        <v>70</v>
      </c>
      <c r="B86" s="78">
        <f t="shared" ref="B86:R86" si="161">B$12/(AK85+1)</f>
        <v>0.5757575757575758</v>
      </c>
      <c r="C86" s="78">
        <f t="shared" si="161"/>
        <v>0.57894736842105265</v>
      </c>
      <c r="D86" s="78">
        <f t="shared" si="161"/>
        <v>0</v>
      </c>
      <c r="E86" s="78">
        <f t="shared" si="161"/>
        <v>0</v>
      </c>
      <c r="F86" s="78">
        <f t="shared" si="161"/>
        <v>0</v>
      </c>
      <c r="G86" s="78">
        <f t="shared" si="161"/>
        <v>0</v>
      </c>
      <c r="H86" s="78">
        <f t="shared" si="161"/>
        <v>0</v>
      </c>
      <c r="I86" s="78">
        <f t="shared" si="161"/>
        <v>0</v>
      </c>
      <c r="J86" s="78">
        <f t="shared" si="161"/>
        <v>0</v>
      </c>
      <c r="K86" s="78">
        <f t="shared" si="161"/>
        <v>0</v>
      </c>
      <c r="L86" s="78">
        <f t="shared" si="161"/>
        <v>0</v>
      </c>
      <c r="M86" s="78">
        <f t="shared" si="161"/>
        <v>0</v>
      </c>
      <c r="N86" s="78">
        <f t="shared" si="161"/>
        <v>0</v>
      </c>
      <c r="O86" s="78">
        <f t="shared" si="161"/>
        <v>0</v>
      </c>
      <c r="P86" s="78">
        <f t="shared" si="161"/>
        <v>0</v>
      </c>
      <c r="Q86" s="78">
        <f t="shared" si="161"/>
        <v>0</v>
      </c>
      <c r="R86" s="79">
        <f t="shared" si="161"/>
        <v>0</v>
      </c>
      <c r="S86" s="79">
        <f t="shared" si="5"/>
        <v>0.57894736842105265</v>
      </c>
      <c r="T86" s="80">
        <f t="shared" si="6"/>
        <v>0</v>
      </c>
      <c r="U86" s="80">
        <f t="shared" si="7"/>
        <v>1</v>
      </c>
      <c r="V86" s="80">
        <f t="shared" si="8"/>
        <v>0</v>
      </c>
      <c r="W86" s="80">
        <f t="shared" si="9"/>
        <v>0</v>
      </c>
      <c r="X86" s="80">
        <f t="shared" si="10"/>
        <v>0</v>
      </c>
      <c r="Y86" s="80">
        <f t="shared" si="11"/>
        <v>0</v>
      </c>
      <c r="Z86" s="80">
        <f t="shared" si="12"/>
        <v>0</v>
      </c>
      <c r="AA86" s="80">
        <f t="shared" si="13"/>
        <v>0</v>
      </c>
      <c r="AB86" s="80">
        <f t="shared" si="14"/>
        <v>0</v>
      </c>
      <c r="AC86" s="80">
        <f t="shared" si="15"/>
        <v>0</v>
      </c>
      <c r="AD86" s="80">
        <f t="shared" si="16"/>
        <v>0</v>
      </c>
      <c r="AE86" s="80">
        <f t="shared" si="17"/>
        <v>0</v>
      </c>
      <c r="AF86" s="80">
        <f t="shared" si="18"/>
        <v>0</v>
      </c>
      <c r="AG86" s="80">
        <f t="shared" si="19"/>
        <v>0</v>
      </c>
      <c r="AH86" s="80">
        <f t="shared" si="20"/>
        <v>0</v>
      </c>
      <c r="AI86" s="80">
        <f t="shared" si="21"/>
        <v>0</v>
      </c>
      <c r="AJ86" s="80">
        <f t="shared" si="22"/>
        <v>0</v>
      </c>
      <c r="AK86" s="80">
        <f t="shared" ref="AK86:BA86" si="162">T86+AK85</f>
        <v>32</v>
      </c>
      <c r="AL86" s="81">
        <f t="shared" si="162"/>
        <v>38</v>
      </c>
      <c r="AM86" s="81">
        <f t="shared" si="162"/>
        <v>0</v>
      </c>
      <c r="AN86" s="81">
        <f t="shared" si="162"/>
        <v>0</v>
      </c>
      <c r="AO86" s="81">
        <f t="shared" si="162"/>
        <v>0</v>
      </c>
      <c r="AP86" s="81">
        <f t="shared" si="162"/>
        <v>0</v>
      </c>
      <c r="AQ86" s="81">
        <f t="shared" si="162"/>
        <v>0</v>
      </c>
      <c r="AR86" s="81">
        <f t="shared" si="162"/>
        <v>0</v>
      </c>
      <c r="AS86" s="81">
        <f t="shared" si="162"/>
        <v>0</v>
      </c>
      <c r="AT86" s="81">
        <f t="shared" si="162"/>
        <v>0</v>
      </c>
      <c r="AU86" s="81">
        <f t="shared" si="162"/>
        <v>0</v>
      </c>
      <c r="AV86" s="81">
        <f t="shared" si="162"/>
        <v>0</v>
      </c>
      <c r="AW86" s="81">
        <f t="shared" si="162"/>
        <v>0</v>
      </c>
      <c r="AX86" s="81">
        <f t="shared" si="162"/>
        <v>0</v>
      </c>
      <c r="AY86" s="81">
        <f t="shared" si="162"/>
        <v>0</v>
      </c>
      <c r="AZ86" s="81">
        <f t="shared" si="162"/>
        <v>0</v>
      </c>
      <c r="BA86" s="82">
        <f t="shared" si="162"/>
        <v>0</v>
      </c>
      <c r="BB86" s="39" t="str">
        <f t="shared" si="24"/>
        <v>Liste 2</v>
      </c>
      <c r="BC86" s="39"/>
      <c r="BD86" s="39"/>
      <c r="BE86" s="39"/>
      <c r="BF86" s="39"/>
      <c r="BG86" s="39"/>
      <c r="BH86" s="39"/>
      <c r="BI86" s="39"/>
      <c r="BJ86" s="39"/>
      <c r="BK86" s="39"/>
      <c r="BL86" s="39"/>
      <c r="BM86" s="39"/>
    </row>
    <row r="87" spans="1:65" ht="16" x14ac:dyDescent="0.2">
      <c r="A87" s="77">
        <v>71</v>
      </c>
      <c r="B87" s="78">
        <f t="shared" ref="B87:R87" si="163">B$12/(AK86+1)</f>
        <v>0.5757575757575758</v>
      </c>
      <c r="C87" s="78">
        <f t="shared" si="163"/>
        <v>0.5641025641025641</v>
      </c>
      <c r="D87" s="78">
        <f t="shared" si="163"/>
        <v>0</v>
      </c>
      <c r="E87" s="78">
        <f t="shared" si="163"/>
        <v>0</v>
      </c>
      <c r="F87" s="78">
        <f t="shared" si="163"/>
        <v>0</v>
      </c>
      <c r="G87" s="78">
        <f t="shared" si="163"/>
        <v>0</v>
      </c>
      <c r="H87" s="78">
        <f t="shared" si="163"/>
        <v>0</v>
      </c>
      <c r="I87" s="78">
        <f t="shared" si="163"/>
        <v>0</v>
      </c>
      <c r="J87" s="78">
        <f t="shared" si="163"/>
        <v>0</v>
      </c>
      <c r="K87" s="78">
        <f t="shared" si="163"/>
        <v>0</v>
      </c>
      <c r="L87" s="78">
        <f t="shared" si="163"/>
        <v>0</v>
      </c>
      <c r="M87" s="78">
        <f t="shared" si="163"/>
        <v>0</v>
      </c>
      <c r="N87" s="78">
        <f t="shared" si="163"/>
        <v>0</v>
      </c>
      <c r="O87" s="78">
        <f t="shared" si="163"/>
        <v>0</v>
      </c>
      <c r="P87" s="78">
        <f t="shared" si="163"/>
        <v>0</v>
      </c>
      <c r="Q87" s="78">
        <f t="shared" si="163"/>
        <v>0</v>
      </c>
      <c r="R87" s="79">
        <f t="shared" si="163"/>
        <v>0</v>
      </c>
      <c r="S87" s="79">
        <f t="shared" si="5"/>
        <v>0.5757575757575758</v>
      </c>
      <c r="T87" s="80">
        <f t="shared" si="6"/>
        <v>1</v>
      </c>
      <c r="U87" s="80">
        <f t="shared" si="7"/>
        <v>0</v>
      </c>
      <c r="V87" s="80">
        <f t="shared" si="8"/>
        <v>0</v>
      </c>
      <c r="W87" s="80">
        <f t="shared" si="9"/>
        <v>0</v>
      </c>
      <c r="X87" s="80">
        <f t="shared" si="10"/>
        <v>0</v>
      </c>
      <c r="Y87" s="80">
        <f t="shared" si="11"/>
        <v>0</v>
      </c>
      <c r="Z87" s="80">
        <f t="shared" si="12"/>
        <v>0</v>
      </c>
      <c r="AA87" s="80">
        <f t="shared" si="13"/>
        <v>0</v>
      </c>
      <c r="AB87" s="80">
        <f t="shared" si="14"/>
        <v>0</v>
      </c>
      <c r="AC87" s="80">
        <f t="shared" si="15"/>
        <v>0</v>
      </c>
      <c r="AD87" s="80">
        <f t="shared" si="16"/>
        <v>0</v>
      </c>
      <c r="AE87" s="80">
        <f t="shared" si="17"/>
        <v>0</v>
      </c>
      <c r="AF87" s="80">
        <f t="shared" si="18"/>
        <v>0</v>
      </c>
      <c r="AG87" s="80">
        <f t="shared" si="19"/>
        <v>0</v>
      </c>
      <c r="AH87" s="80">
        <f t="shared" si="20"/>
        <v>0</v>
      </c>
      <c r="AI87" s="80">
        <f t="shared" si="21"/>
        <v>0</v>
      </c>
      <c r="AJ87" s="80">
        <f t="shared" si="22"/>
        <v>0</v>
      </c>
      <c r="AK87" s="80">
        <f t="shared" ref="AK87:BA87" si="164">T87+AK86</f>
        <v>33</v>
      </c>
      <c r="AL87" s="81">
        <f t="shared" si="164"/>
        <v>38</v>
      </c>
      <c r="AM87" s="81">
        <f t="shared" si="164"/>
        <v>0</v>
      </c>
      <c r="AN87" s="81">
        <f t="shared" si="164"/>
        <v>0</v>
      </c>
      <c r="AO87" s="81">
        <f t="shared" si="164"/>
        <v>0</v>
      </c>
      <c r="AP87" s="81">
        <f t="shared" si="164"/>
        <v>0</v>
      </c>
      <c r="AQ87" s="81">
        <f t="shared" si="164"/>
        <v>0</v>
      </c>
      <c r="AR87" s="81">
        <f t="shared" si="164"/>
        <v>0</v>
      </c>
      <c r="AS87" s="81">
        <f t="shared" si="164"/>
        <v>0</v>
      </c>
      <c r="AT87" s="81">
        <f t="shared" si="164"/>
        <v>0</v>
      </c>
      <c r="AU87" s="81">
        <f t="shared" si="164"/>
        <v>0</v>
      </c>
      <c r="AV87" s="81">
        <f t="shared" si="164"/>
        <v>0</v>
      </c>
      <c r="AW87" s="81">
        <f t="shared" si="164"/>
        <v>0</v>
      </c>
      <c r="AX87" s="81">
        <f t="shared" si="164"/>
        <v>0</v>
      </c>
      <c r="AY87" s="81">
        <f t="shared" si="164"/>
        <v>0</v>
      </c>
      <c r="AZ87" s="81">
        <f t="shared" si="164"/>
        <v>0</v>
      </c>
      <c r="BA87" s="82">
        <f t="shared" si="164"/>
        <v>0</v>
      </c>
      <c r="BB87" s="39" t="str">
        <f t="shared" si="24"/>
        <v>Liste 1</v>
      </c>
      <c r="BC87" s="39"/>
      <c r="BD87" s="39"/>
      <c r="BE87" s="39"/>
      <c r="BF87" s="39"/>
      <c r="BG87" s="39"/>
      <c r="BH87" s="39"/>
      <c r="BI87" s="39"/>
      <c r="BJ87" s="39"/>
      <c r="BK87" s="39"/>
      <c r="BL87" s="39"/>
      <c r="BM87" s="39"/>
    </row>
    <row r="88" spans="1:65" ht="16" x14ac:dyDescent="0.2">
      <c r="A88" s="77">
        <v>72</v>
      </c>
      <c r="B88" s="78">
        <f t="shared" ref="B88:R88" si="165">B$12/(AK87+1)</f>
        <v>0.55882352941176472</v>
      </c>
      <c r="C88" s="78">
        <f t="shared" si="165"/>
        <v>0.5641025641025641</v>
      </c>
      <c r="D88" s="78">
        <f t="shared" si="165"/>
        <v>0</v>
      </c>
      <c r="E88" s="78">
        <f t="shared" si="165"/>
        <v>0</v>
      </c>
      <c r="F88" s="78">
        <f t="shared" si="165"/>
        <v>0</v>
      </c>
      <c r="G88" s="78">
        <f t="shared" si="165"/>
        <v>0</v>
      </c>
      <c r="H88" s="78">
        <f t="shared" si="165"/>
        <v>0</v>
      </c>
      <c r="I88" s="78">
        <f t="shared" si="165"/>
        <v>0</v>
      </c>
      <c r="J88" s="78">
        <f t="shared" si="165"/>
        <v>0</v>
      </c>
      <c r="K88" s="78">
        <f t="shared" si="165"/>
        <v>0</v>
      </c>
      <c r="L88" s="78">
        <f t="shared" si="165"/>
        <v>0</v>
      </c>
      <c r="M88" s="78">
        <f t="shared" si="165"/>
        <v>0</v>
      </c>
      <c r="N88" s="78">
        <f t="shared" si="165"/>
        <v>0</v>
      </c>
      <c r="O88" s="78">
        <f t="shared" si="165"/>
        <v>0</v>
      </c>
      <c r="P88" s="78">
        <f t="shared" si="165"/>
        <v>0</v>
      </c>
      <c r="Q88" s="78">
        <f t="shared" si="165"/>
        <v>0</v>
      </c>
      <c r="R88" s="79">
        <f t="shared" si="165"/>
        <v>0</v>
      </c>
      <c r="S88" s="79">
        <f t="shared" si="5"/>
        <v>0.5641025641025641</v>
      </c>
      <c r="T88" s="80">
        <f t="shared" si="6"/>
        <v>0</v>
      </c>
      <c r="U88" s="80">
        <f t="shared" si="7"/>
        <v>1</v>
      </c>
      <c r="V88" s="80">
        <f t="shared" si="8"/>
        <v>0</v>
      </c>
      <c r="W88" s="80">
        <f t="shared" si="9"/>
        <v>0</v>
      </c>
      <c r="X88" s="80">
        <f t="shared" si="10"/>
        <v>0</v>
      </c>
      <c r="Y88" s="80">
        <f t="shared" si="11"/>
        <v>0</v>
      </c>
      <c r="Z88" s="80">
        <f t="shared" si="12"/>
        <v>0</v>
      </c>
      <c r="AA88" s="80">
        <f t="shared" si="13"/>
        <v>0</v>
      </c>
      <c r="AB88" s="80">
        <f t="shared" si="14"/>
        <v>0</v>
      </c>
      <c r="AC88" s="80">
        <f t="shared" si="15"/>
        <v>0</v>
      </c>
      <c r="AD88" s="80">
        <f t="shared" si="16"/>
        <v>0</v>
      </c>
      <c r="AE88" s="80">
        <f t="shared" si="17"/>
        <v>0</v>
      </c>
      <c r="AF88" s="80">
        <f t="shared" si="18"/>
        <v>0</v>
      </c>
      <c r="AG88" s="80">
        <f t="shared" si="19"/>
        <v>0</v>
      </c>
      <c r="AH88" s="80">
        <f t="shared" si="20"/>
        <v>0</v>
      </c>
      <c r="AI88" s="80">
        <f t="shared" si="21"/>
        <v>0</v>
      </c>
      <c r="AJ88" s="80">
        <f t="shared" si="22"/>
        <v>0</v>
      </c>
      <c r="AK88" s="80">
        <f t="shared" ref="AK88:BA88" si="166">T88+AK87</f>
        <v>33</v>
      </c>
      <c r="AL88" s="81">
        <f t="shared" si="166"/>
        <v>39</v>
      </c>
      <c r="AM88" s="81">
        <f t="shared" si="166"/>
        <v>0</v>
      </c>
      <c r="AN88" s="81">
        <f t="shared" si="166"/>
        <v>0</v>
      </c>
      <c r="AO88" s="81">
        <f t="shared" si="166"/>
        <v>0</v>
      </c>
      <c r="AP88" s="81">
        <f t="shared" si="166"/>
        <v>0</v>
      </c>
      <c r="AQ88" s="81">
        <f t="shared" si="166"/>
        <v>0</v>
      </c>
      <c r="AR88" s="81">
        <f t="shared" si="166"/>
        <v>0</v>
      </c>
      <c r="AS88" s="81">
        <f t="shared" si="166"/>
        <v>0</v>
      </c>
      <c r="AT88" s="81">
        <f t="shared" si="166"/>
        <v>0</v>
      </c>
      <c r="AU88" s="81">
        <f t="shared" si="166"/>
        <v>0</v>
      </c>
      <c r="AV88" s="81">
        <f t="shared" si="166"/>
        <v>0</v>
      </c>
      <c r="AW88" s="81">
        <f t="shared" si="166"/>
        <v>0</v>
      </c>
      <c r="AX88" s="81">
        <f t="shared" si="166"/>
        <v>0</v>
      </c>
      <c r="AY88" s="81">
        <f t="shared" si="166"/>
        <v>0</v>
      </c>
      <c r="AZ88" s="81">
        <f t="shared" si="166"/>
        <v>0</v>
      </c>
      <c r="BA88" s="82">
        <f t="shared" si="166"/>
        <v>0</v>
      </c>
      <c r="BB88" s="39" t="str">
        <f t="shared" si="24"/>
        <v>Liste 2</v>
      </c>
      <c r="BC88" s="39"/>
      <c r="BD88" s="39"/>
      <c r="BE88" s="39"/>
      <c r="BF88" s="39"/>
      <c r="BG88" s="39"/>
      <c r="BH88" s="39"/>
      <c r="BI88" s="39"/>
      <c r="BJ88" s="39"/>
      <c r="BK88" s="39"/>
      <c r="BL88" s="39"/>
      <c r="BM88" s="39"/>
    </row>
    <row r="89" spans="1:65" ht="16" x14ac:dyDescent="0.2">
      <c r="A89" s="77">
        <v>73</v>
      </c>
      <c r="B89" s="78">
        <f t="shared" ref="B89:R89" si="167">B$12/(AK88+1)</f>
        <v>0.55882352941176472</v>
      </c>
      <c r="C89" s="78">
        <f t="shared" si="167"/>
        <v>0.55000000000000004</v>
      </c>
      <c r="D89" s="78">
        <f t="shared" si="167"/>
        <v>0</v>
      </c>
      <c r="E89" s="78">
        <f t="shared" si="167"/>
        <v>0</v>
      </c>
      <c r="F89" s="78">
        <f t="shared" si="167"/>
        <v>0</v>
      </c>
      <c r="G89" s="78">
        <f t="shared" si="167"/>
        <v>0</v>
      </c>
      <c r="H89" s="78">
        <f t="shared" si="167"/>
        <v>0</v>
      </c>
      <c r="I89" s="78">
        <f t="shared" si="167"/>
        <v>0</v>
      </c>
      <c r="J89" s="78">
        <f t="shared" si="167"/>
        <v>0</v>
      </c>
      <c r="K89" s="78">
        <f t="shared" si="167"/>
        <v>0</v>
      </c>
      <c r="L89" s="78">
        <f t="shared" si="167"/>
        <v>0</v>
      </c>
      <c r="M89" s="78">
        <f t="shared" si="167"/>
        <v>0</v>
      </c>
      <c r="N89" s="78">
        <f t="shared" si="167"/>
        <v>0</v>
      </c>
      <c r="O89" s="78">
        <f t="shared" si="167"/>
        <v>0</v>
      </c>
      <c r="P89" s="78">
        <f t="shared" si="167"/>
        <v>0</v>
      </c>
      <c r="Q89" s="78">
        <f t="shared" si="167"/>
        <v>0</v>
      </c>
      <c r="R89" s="79">
        <f t="shared" si="167"/>
        <v>0</v>
      </c>
      <c r="S89" s="79">
        <f t="shared" si="5"/>
        <v>0.55882352941176472</v>
      </c>
      <c r="T89" s="80">
        <f t="shared" si="6"/>
        <v>1</v>
      </c>
      <c r="U89" s="80">
        <f t="shared" si="7"/>
        <v>0</v>
      </c>
      <c r="V89" s="80">
        <f t="shared" si="8"/>
        <v>0</v>
      </c>
      <c r="W89" s="80">
        <f t="shared" si="9"/>
        <v>0</v>
      </c>
      <c r="X89" s="80">
        <f t="shared" si="10"/>
        <v>0</v>
      </c>
      <c r="Y89" s="80">
        <f t="shared" si="11"/>
        <v>0</v>
      </c>
      <c r="Z89" s="80">
        <f t="shared" si="12"/>
        <v>0</v>
      </c>
      <c r="AA89" s="80">
        <f t="shared" si="13"/>
        <v>0</v>
      </c>
      <c r="AB89" s="80">
        <f t="shared" si="14"/>
        <v>0</v>
      </c>
      <c r="AC89" s="80">
        <f t="shared" si="15"/>
        <v>0</v>
      </c>
      <c r="AD89" s="80">
        <f t="shared" si="16"/>
        <v>0</v>
      </c>
      <c r="AE89" s="80">
        <f t="shared" si="17"/>
        <v>0</v>
      </c>
      <c r="AF89" s="80">
        <f t="shared" si="18"/>
        <v>0</v>
      </c>
      <c r="AG89" s="80">
        <f t="shared" si="19"/>
        <v>0</v>
      </c>
      <c r="AH89" s="80">
        <f t="shared" si="20"/>
        <v>0</v>
      </c>
      <c r="AI89" s="80">
        <f t="shared" si="21"/>
        <v>0</v>
      </c>
      <c r="AJ89" s="80">
        <f t="shared" si="22"/>
        <v>0</v>
      </c>
      <c r="AK89" s="80">
        <f t="shared" ref="AK89:BA89" si="168">T89+AK88</f>
        <v>34</v>
      </c>
      <c r="AL89" s="81">
        <f t="shared" si="168"/>
        <v>39</v>
      </c>
      <c r="AM89" s="81">
        <f t="shared" si="168"/>
        <v>0</v>
      </c>
      <c r="AN89" s="81">
        <f t="shared" si="168"/>
        <v>0</v>
      </c>
      <c r="AO89" s="81">
        <f t="shared" si="168"/>
        <v>0</v>
      </c>
      <c r="AP89" s="81">
        <f t="shared" si="168"/>
        <v>0</v>
      </c>
      <c r="AQ89" s="81">
        <f t="shared" si="168"/>
        <v>0</v>
      </c>
      <c r="AR89" s="81">
        <f t="shared" si="168"/>
        <v>0</v>
      </c>
      <c r="AS89" s="81">
        <f t="shared" si="168"/>
        <v>0</v>
      </c>
      <c r="AT89" s="81">
        <f t="shared" si="168"/>
        <v>0</v>
      </c>
      <c r="AU89" s="81">
        <f t="shared" si="168"/>
        <v>0</v>
      </c>
      <c r="AV89" s="81">
        <f t="shared" si="168"/>
        <v>0</v>
      </c>
      <c r="AW89" s="81">
        <f t="shared" si="168"/>
        <v>0</v>
      </c>
      <c r="AX89" s="81">
        <f t="shared" si="168"/>
        <v>0</v>
      </c>
      <c r="AY89" s="81">
        <f t="shared" si="168"/>
        <v>0</v>
      </c>
      <c r="AZ89" s="81">
        <f t="shared" si="168"/>
        <v>0</v>
      </c>
      <c r="BA89" s="82">
        <f t="shared" si="168"/>
        <v>0</v>
      </c>
      <c r="BB89" s="39" t="str">
        <f t="shared" si="24"/>
        <v>Liste 1</v>
      </c>
      <c r="BC89" s="39"/>
      <c r="BD89" s="39"/>
      <c r="BE89" s="39"/>
      <c r="BF89" s="39"/>
      <c r="BG89" s="39"/>
      <c r="BH89" s="39"/>
      <c r="BI89" s="39"/>
      <c r="BJ89" s="39"/>
      <c r="BK89" s="39"/>
      <c r="BL89" s="39"/>
      <c r="BM89" s="39"/>
    </row>
    <row r="90" spans="1:65" ht="16" x14ac:dyDescent="0.2">
      <c r="A90" s="77">
        <v>74</v>
      </c>
      <c r="B90" s="78">
        <f t="shared" ref="B90:R90" si="169">B$12/(AK89+1)</f>
        <v>0.54285714285714282</v>
      </c>
      <c r="C90" s="78">
        <f t="shared" si="169"/>
        <v>0.55000000000000004</v>
      </c>
      <c r="D90" s="78">
        <f t="shared" si="169"/>
        <v>0</v>
      </c>
      <c r="E90" s="78">
        <f t="shared" si="169"/>
        <v>0</v>
      </c>
      <c r="F90" s="78">
        <f t="shared" si="169"/>
        <v>0</v>
      </c>
      <c r="G90" s="78">
        <f t="shared" si="169"/>
        <v>0</v>
      </c>
      <c r="H90" s="78">
        <f t="shared" si="169"/>
        <v>0</v>
      </c>
      <c r="I90" s="78">
        <f t="shared" si="169"/>
        <v>0</v>
      </c>
      <c r="J90" s="78">
        <f t="shared" si="169"/>
        <v>0</v>
      </c>
      <c r="K90" s="78">
        <f t="shared" si="169"/>
        <v>0</v>
      </c>
      <c r="L90" s="78">
        <f t="shared" si="169"/>
        <v>0</v>
      </c>
      <c r="M90" s="78">
        <f t="shared" si="169"/>
        <v>0</v>
      </c>
      <c r="N90" s="78">
        <f t="shared" si="169"/>
        <v>0</v>
      </c>
      <c r="O90" s="78">
        <f t="shared" si="169"/>
        <v>0</v>
      </c>
      <c r="P90" s="78">
        <f t="shared" si="169"/>
        <v>0</v>
      </c>
      <c r="Q90" s="78">
        <f t="shared" si="169"/>
        <v>0</v>
      </c>
      <c r="R90" s="79">
        <f t="shared" si="169"/>
        <v>0</v>
      </c>
      <c r="S90" s="79">
        <f t="shared" si="5"/>
        <v>0.55000000000000004</v>
      </c>
      <c r="T90" s="80">
        <f t="shared" si="6"/>
        <v>0</v>
      </c>
      <c r="U90" s="80">
        <f t="shared" si="7"/>
        <v>1</v>
      </c>
      <c r="V90" s="80">
        <f t="shared" si="8"/>
        <v>0</v>
      </c>
      <c r="W90" s="80">
        <f t="shared" si="9"/>
        <v>0</v>
      </c>
      <c r="X90" s="80">
        <f t="shared" si="10"/>
        <v>0</v>
      </c>
      <c r="Y90" s="80">
        <f t="shared" si="11"/>
        <v>0</v>
      </c>
      <c r="Z90" s="80">
        <f t="shared" si="12"/>
        <v>0</v>
      </c>
      <c r="AA90" s="80">
        <f t="shared" si="13"/>
        <v>0</v>
      </c>
      <c r="AB90" s="80">
        <f t="shared" si="14"/>
        <v>0</v>
      </c>
      <c r="AC90" s="80">
        <f t="shared" si="15"/>
        <v>0</v>
      </c>
      <c r="AD90" s="80">
        <f t="shared" si="16"/>
        <v>0</v>
      </c>
      <c r="AE90" s="80">
        <f t="shared" si="17"/>
        <v>0</v>
      </c>
      <c r="AF90" s="80">
        <f t="shared" si="18"/>
        <v>0</v>
      </c>
      <c r="AG90" s="80">
        <f t="shared" si="19"/>
        <v>0</v>
      </c>
      <c r="AH90" s="80">
        <f t="shared" si="20"/>
        <v>0</v>
      </c>
      <c r="AI90" s="80">
        <f t="shared" si="21"/>
        <v>0</v>
      </c>
      <c r="AJ90" s="80">
        <f t="shared" si="22"/>
        <v>0</v>
      </c>
      <c r="AK90" s="80">
        <f t="shared" ref="AK90:BA90" si="170">T90+AK89</f>
        <v>34</v>
      </c>
      <c r="AL90" s="81">
        <f t="shared" si="170"/>
        <v>40</v>
      </c>
      <c r="AM90" s="81">
        <f t="shared" si="170"/>
        <v>0</v>
      </c>
      <c r="AN90" s="81">
        <f t="shared" si="170"/>
        <v>0</v>
      </c>
      <c r="AO90" s="81">
        <f t="shared" si="170"/>
        <v>0</v>
      </c>
      <c r="AP90" s="81">
        <f t="shared" si="170"/>
        <v>0</v>
      </c>
      <c r="AQ90" s="81">
        <f t="shared" si="170"/>
        <v>0</v>
      </c>
      <c r="AR90" s="81">
        <f t="shared" si="170"/>
        <v>0</v>
      </c>
      <c r="AS90" s="81">
        <f t="shared" si="170"/>
        <v>0</v>
      </c>
      <c r="AT90" s="81">
        <f t="shared" si="170"/>
        <v>0</v>
      </c>
      <c r="AU90" s="81">
        <f t="shared" si="170"/>
        <v>0</v>
      </c>
      <c r="AV90" s="81">
        <f t="shared" si="170"/>
        <v>0</v>
      </c>
      <c r="AW90" s="81">
        <f t="shared" si="170"/>
        <v>0</v>
      </c>
      <c r="AX90" s="81">
        <f t="shared" si="170"/>
        <v>0</v>
      </c>
      <c r="AY90" s="81">
        <f t="shared" si="170"/>
        <v>0</v>
      </c>
      <c r="AZ90" s="81">
        <f t="shared" si="170"/>
        <v>0</v>
      </c>
      <c r="BA90" s="82">
        <f t="shared" si="170"/>
        <v>0</v>
      </c>
      <c r="BB90" s="39" t="str">
        <f t="shared" si="24"/>
        <v>Liste 2</v>
      </c>
      <c r="BC90" s="39"/>
      <c r="BD90" s="39"/>
      <c r="BE90" s="39"/>
      <c r="BF90" s="39"/>
      <c r="BG90" s="39"/>
      <c r="BH90" s="39"/>
      <c r="BI90" s="39"/>
      <c r="BJ90" s="39"/>
      <c r="BK90" s="39"/>
      <c r="BL90" s="39"/>
      <c r="BM90" s="39"/>
    </row>
    <row r="91" spans="1:65" ht="16" x14ac:dyDescent="0.2">
      <c r="A91" s="77">
        <v>75</v>
      </c>
      <c r="B91" s="78">
        <f t="shared" ref="B91:R91" si="171">B$12/(AK90+1)</f>
        <v>0.54285714285714282</v>
      </c>
      <c r="C91" s="78">
        <f t="shared" si="171"/>
        <v>0.53658536585365857</v>
      </c>
      <c r="D91" s="78">
        <f t="shared" si="171"/>
        <v>0</v>
      </c>
      <c r="E91" s="78">
        <f t="shared" si="171"/>
        <v>0</v>
      </c>
      <c r="F91" s="78">
        <f t="shared" si="171"/>
        <v>0</v>
      </c>
      <c r="G91" s="78">
        <f t="shared" si="171"/>
        <v>0</v>
      </c>
      <c r="H91" s="78">
        <f t="shared" si="171"/>
        <v>0</v>
      </c>
      <c r="I91" s="78">
        <f t="shared" si="171"/>
        <v>0</v>
      </c>
      <c r="J91" s="78">
        <f t="shared" si="171"/>
        <v>0</v>
      </c>
      <c r="K91" s="78">
        <f t="shared" si="171"/>
        <v>0</v>
      </c>
      <c r="L91" s="78">
        <f t="shared" si="171"/>
        <v>0</v>
      </c>
      <c r="M91" s="78">
        <f t="shared" si="171"/>
        <v>0</v>
      </c>
      <c r="N91" s="78">
        <f t="shared" si="171"/>
        <v>0</v>
      </c>
      <c r="O91" s="78">
        <f t="shared" si="171"/>
        <v>0</v>
      </c>
      <c r="P91" s="78">
        <f t="shared" si="171"/>
        <v>0</v>
      </c>
      <c r="Q91" s="78">
        <f t="shared" si="171"/>
        <v>0</v>
      </c>
      <c r="R91" s="79">
        <f t="shared" si="171"/>
        <v>0</v>
      </c>
      <c r="S91" s="79">
        <f t="shared" si="5"/>
        <v>0.54285714285714282</v>
      </c>
      <c r="T91" s="80">
        <f t="shared" si="6"/>
        <v>1</v>
      </c>
      <c r="U91" s="80">
        <f t="shared" si="7"/>
        <v>0</v>
      </c>
      <c r="V91" s="80">
        <f t="shared" si="8"/>
        <v>0</v>
      </c>
      <c r="W91" s="80">
        <f t="shared" si="9"/>
        <v>0</v>
      </c>
      <c r="X91" s="80">
        <f t="shared" si="10"/>
        <v>0</v>
      </c>
      <c r="Y91" s="80">
        <f t="shared" si="11"/>
        <v>0</v>
      </c>
      <c r="Z91" s="80">
        <f t="shared" si="12"/>
        <v>0</v>
      </c>
      <c r="AA91" s="80">
        <f t="shared" si="13"/>
        <v>0</v>
      </c>
      <c r="AB91" s="80">
        <f t="shared" si="14"/>
        <v>0</v>
      </c>
      <c r="AC91" s="80">
        <f t="shared" si="15"/>
        <v>0</v>
      </c>
      <c r="AD91" s="80">
        <f t="shared" si="16"/>
        <v>0</v>
      </c>
      <c r="AE91" s="80">
        <f t="shared" si="17"/>
        <v>0</v>
      </c>
      <c r="AF91" s="80">
        <f t="shared" si="18"/>
        <v>0</v>
      </c>
      <c r="AG91" s="80">
        <f t="shared" si="19"/>
        <v>0</v>
      </c>
      <c r="AH91" s="80">
        <f t="shared" si="20"/>
        <v>0</v>
      </c>
      <c r="AI91" s="80">
        <f t="shared" si="21"/>
        <v>0</v>
      </c>
      <c r="AJ91" s="80">
        <f t="shared" si="22"/>
        <v>0</v>
      </c>
      <c r="AK91" s="80">
        <f t="shared" ref="AK91:BA91" si="172">T91+AK90</f>
        <v>35</v>
      </c>
      <c r="AL91" s="81">
        <f t="shared" si="172"/>
        <v>40</v>
      </c>
      <c r="AM91" s="81">
        <f t="shared" si="172"/>
        <v>0</v>
      </c>
      <c r="AN91" s="81">
        <f t="shared" si="172"/>
        <v>0</v>
      </c>
      <c r="AO91" s="81">
        <f t="shared" si="172"/>
        <v>0</v>
      </c>
      <c r="AP91" s="81">
        <f t="shared" si="172"/>
        <v>0</v>
      </c>
      <c r="AQ91" s="81">
        <f t="shared" si="172"/>
        <v>0</v>
      </c>
      <c r="AR91" s="81">
        <f t="shared" si="172"/>
        <v>0</v>
      </c>
      <c r="AS91" s="81">
        <f t="shared" si="172"/>
        <v>0</v>
      </c>
      <c r="AT91" s="81">
        <f t="shared" si="172"/>
        <v>0</v>
      </c>
      <c r="AU91" s="81">
        <f t="shared" si="172"/>
        <v>0</v>
      </c>
      <c r="AV91" s="81">
        <f t="shared" si="172"/>
        <v>0</v>
      </c>
      <c r="AW91" s="81">
        <f t="shared" si="172"/>
        <v>0</v>
      </c>
      <c r="AX91" s="81">
        <f t="shared" si="172"/>
        <v>0</v>
      </c>
      <c r="AY91" s="81">
        <f t="shared" si="172"/>
        <v>0</v>
      </c>
      <c r="AZ91" s="81">
        <f t="shared" si="172"/>
        <v>0</v>
      </c>
      <c r="BA91" s="82">
        <f t="shared" si="172"/>
        <v>0</v>
      </c>
      <c r="BB91" s="39" t="str">
        <f t="shared" si="24"/>
        <v>Liste 1</v>
      </c>
      <c r="BC91" s="39"/>
      <c r="BD91" s="39"/>
      <c r="BE91" s="39"/>
      <c r="BF91" s="39"/>
      <c r="BG91" s="39"/>
      <c r="BH91" s="39"/>
      <c r="BI91" s="39"/>
      <c r="BJ91" s="39"/>
      <c r="BK91" s="39"/>
      <c r="BL91" s="39"/>
      <c r="BM91" s="39"/>
    </row>
    <row r="92" spans="1:65" ht="16" x14ac:dyDescent="0.2">
      <c r="A92" s="77">
        <v>76</v>
      </c>
      <c r="B92" s="78">
        <f t="shared" ref="B92:R92" si="173">B$12/(AK91+1)</f>
        <v>0.52777777777777779</v>
      </c>
      <c r="C92" s="78">
        <f t="shared" si="173"/>
        <v>0.53658536585365857</v>
      </c>
      <c r="D92" s="78">
        <f t="shared" si="173"/>
        <v>0</v>
      </c>
      <c r="E92" s="78">
        <f t="shared" si="173"/>
        <v>0</v>
      </c>
      <c r="F92" s="78">
        <f t="shared" si="173"/>
        <v>0</v>
      </c>
      <c r="G92" s="78">
        <f t="shared" si="173"/>
        <v>0</v>
      </c>
      <c r="H92" s="78">
        <f t="shared" si="173"/>
        <v>0</v>
      </c>
      <c r="I92" s="78">
        <f t="shared" si="173"/>
        <v>0</v>
      </c>
      <c r="J92" s="78">
        <f t="shared" si="173"/>
        <v>0</v>
      </c>
      <c r="K92" s="78">
        <f t="shared" si="173"/>
        <v>0</v>
      </c>
      <c r="L92" s="78">
        <f t="shared" si="173"/>
        <v>0</v>
      </c>
      <c r="M92" s="78">
        <f t="shared" si="173"/>
        <v>0</v>
      </c>
      <c r="N92" s="78">
        <f t="shared" si="173"/>
        <v>0</v>
      </c>
      <c r="O92" s="78">
        <f t="shared" si="173"/>
        <v>0</v>
      </c>
      <c r="P92" s="78">
        <f t="shared" si="173"/>
        <v>0</v>
      </c>
      <c r="Q92" s="78">
        <f t="shared" si="173"/>
        <v>0</v>
      </c>
      <c r="R92" s="79">
        <f t="shared" si="173"/>
        <v>0</v>
      </c>
      <c r="S92" s="79">
        <f t="shared" si="5"/>
        <v>0.53658536585365857</v>
      </c>
      <c r="T92" s="80">
        <f t="shared" si="6"/>
        <v>0</v>
      </c>
      <c r="U92" s="80">
        <f t="shared" si="7"/>
        <v>1</v>
      </c>
      <c r="V92" s="80">
        <f t="shared" si="8"/>
        <v>0</v>
      </c>
      <c r="W92" s="80">
        <f t="shared" si="9"/>
        <v>0</v>
      </c>
      <c r="X92" s="80">
        <f t="shared" si="10"/>
        <v>0</v>
      </c>
      <c r="Y92" s="80">
        <f t="shared" si="11"/>
        <v>0</v>
      </c>
      <c r="Z92" s="80">
        <f t="shared" si="12"/>
        <v>0</v>
      </c>
      <c r="AA92" s="80">
        <f t="shared" si="13"/>
        <v>0</v>
      </c>
      <c r="AB92" s="80">
        <f t="shared" si="14"/>
        <v>0</v>
      </c>
      <c r="AC92" s="80">
        <f t="shared" si="15"/>
        <v>0</v>
      </c>
      <c r="AD92" s="80">
        <f t="shared" si="16"/>
        <v>0</v>
      </c>
      <c r="AE92" s="80">
        <f t="shared" si="17"/>
        <v>0</v>
      </c>
      <c r="AF92" s="80">
        <f t="shared" si="18"/>
        <v>0</v>
      </c>
      <c r="AG92" s="80">
        <f t="shared" si="19"/>
        <v>0</v>
      </c>
      <c r="AH92" s="80">
        <f t="shared" si="20"/>
        <v>0</v>
      </c>
      <c r="AI92" s="80">
        <f t="shared" si="21"/>
        <v>0</v>
      </c>
      <c r="AJ92" s="80">
        <f t="shared" si="22"/>
        <v>0</v>
      </c>
      <c r="AK92" s="80">
        <f t="shared" ref="AK92:BA92" si="174">T92+AK91</f>
        <v>35</v>
      </c>
      <c r="AL92" s="81">
        <f t="shared" si="174"/>
        <v>41</v>
      </c>
      <c r="AM92" s="81">
        <f t="shared" si="174"/>
        <v>0</v>
      </c>
      <c r="AN92" s="81">
        <f t="shared" si="174"/>
        <v>0</v>
      </c>
      <c r="AO92" s="81">
        <f t="shared" si="174"/>
        <v>0</v>
      </c>
      <c r="AP92" s="81">
        <f t="shared" si="174"/>
        <v>0</v>
      </c>
      <c r="AQ92" s="81">
        <f t="shared" si="174"/>
        <v>0</v>
      </c>
      <c r="AR92" s="81">
        <f t="shared" si="174"/>
        <v>0</v>
      </c>
      <c r="AS92" s="81">
        <f t="shared" si="174"/>
        <v>0</v>
      </c>
      <c r="AT92" s="81">
        <f t="shared" si="174"/>
        <v>0</v>
      </c>
      <c r="AU92" s="81">
        <f t="shared" si="174"/>
        <v>0</v>
      </c>
      <c r="AV92" s="81">
        <f t="shared" si="174"/>
        <v>0</v>
      </c>
      <c r="AW92" s="81">
        <f t="shared" si="174"/>
        <v>0</v>
      </c>
      <c r="AX92" s="81">
        <f t="shared" si="174"/>
        <v>0</v>
      </c>
      <c r="AY92" s="81">
        <f t="shared" si="174"/>
        <v>0</v>
      </c>
      <c r="AZ92" s="81">
        <f t="shared" si="174"/>
        <v>0</v>
      </c>
      <c r="BA92" s="82">
        <f t="shared" si="174"/>
        <v>0</v>
      </c>
      <c r="BB92" s="39" t="str">
        <f t="shared" si="24"/>
        <v>Liste 2</v>
      </c>
      <c r="BC92" s="39"/>
      <c r="BD92" s="39"/>
      <c r="BE92" s="39"/>
      <c r="BF92" s="39"/>
      <c r="BG92" s="39"/>
      <c r="BH92" s="39"/>
      <c r="BI92" s="39"/>
      <c r="BJ92" s="39"/>
      <c r="BK92" s="39"/>
      <c r="BL92" s="39"/>
      <c r="BM92" s="39"/>
    </row>
    <row r="93" spans="1:65" ht="16" x14ac:dyDescent="0.2">
      <c r="A93" s="77">
        <v>77</v>
      </c>
      <c r="B93" s="78">
        <f t="shared" ref="B93:R93" si="175">B$12/(AK92+1)</f>
        <v>0.52777777777777779</v>
      </c>
      <c r="C93" s="78">
        <f t="shared" si="175"/>
        <v>0.52380952380952384</v>
      </c>
      <c r="D93" s="78">
        <f t="shared" si="175"/>
        <v>0</v>
      </c>
      <c r="E93" s="78">
        <f t="shared" si="175"/>
        <v>0</v>
      </c>
      <c r="F93" s="78">
        <f t="shared" si="175"/>
        <v>0</v>
      </c>
      <c r="G93" s="78">
        <f t="shared" si="175"/>
        <v>0</v>
      </c>
      <c r="H93" s="78">
        <f t="shared" si="175"/>
        <v>0</v>
      </c>
      <c r="I93" s="78">
        <f t="shared" si="175"/>
        <v>0</v>
      </c>
      <c r="J93" s="78">
        <f t="shared" si="175"/>
        <v>0</v>
      </c>
      <c r="K93" s="78">
        <f t="shared" si="175"/>
        <v>0</v>
      </c>
      <c r="L93" s="78">
        <f t="shared" si="175"/>
        <v>0</v>
      </c>
      <c r="M93" s="78">
        <f t="shared" si="175"/>
        <v>0</v>
      </c>
      <c r="N93" s="78">
        <f t="shared" si="175"/>
        <v>0</v>
      </c>
      <c r="O93" s="78">
        <f t="shared" si="175"/>
        <v>0</v>
      </c>
      <c r="P93" s="78">
        <f t="shared" si="175"/>
        <v>0</v>
      </c>
      <c r="Q93" s="78">
        <f t="shared" si="175"/>
        <v>0</v>
      </c>
      <c r="R93" s="79">
        <f t="shared" si="175"/>
        <v>0</v>
      </c>
      <c r="S93" s="79">
        <f t="shared" si="5"/>
        <v>0.52777777777777779</v>
      </c>
      <c r="T93" s="80">
        <f t="shared" si="6"/>
        <v>1</v>
      </c>
      <c r="U93" s="80">
        <f t="shared" si="7"/>
        <v>0</v>
      </c>
      <c r="V93" s="80">
        <f t="shared" si="8"/>
        <v>0</v>
      </c>
      <c r="W93" s="80">
        <f t="shared" si="9"/>
        <v>0</v>
      </c>
      <c r="X93" s="80">
        <f t="shared" si="10"/>
        <v>0</v>
      </c>
      <c r="Y93" s="80">
        <f t="shared" si="11"/>
        <v>0</v>
      </c>
      <c r="Z93" s="80">
        <f t="shared" si="12"/>
        <v>0</v>
      </c>
      <c r="AA93" s="80">
        <f t="shared" si="13"/>
        <v>0</v>
      </c>
      <c r="AB93" s="80">
        <f t="shared" si="14"/>
        <v>0</v>
      </c>
      <c r="AC93" s="80">
        <f t="shared" si="15"/>
        <v>0</v>
      </c>
      <c r="AD93" s="80">
        <f t="shared" si="16"/>
        <v>0</v>
      </c>
      <c r="AE93" s="80">
        <f t="shared" si="17"/>
        <v>0</v>
      </c>
      <c r="AF93" s="80">
        <f t="shared" si="18"/>
        <v>0</v>
      </c>
      <c r="AG93" s="80">
        <f t="shared" si="19"/>
        <v>0</v>
      </c>
      <c r="AH93" s="80">
        <f t="shared" si="20"/>
        <v>0</v>
      </c>
      <c r="AI93" s="80">
        <f t="shared" si="21"/>
        <v>0</v>
      </c>
      <c r="AJ93" s="80">
        <f t="shared" si="22"/>
        <v>0</v>
      </c>
      <c r="AK93" s="80">
        <f t="shared" ref="AK93:BA93" si="176">T93+AK92</f>
        <v>36</v>
      </c>
      <c r="AL93" s="81">
        <f t="shared" si="176"/>
        <v>41</v>
      </c>
      <c r="AM93" s="81">
        <f t="shared" si="176"/>
        <v>0</v>
      </c>
      <c r="AN93" s="81">
        <f t="shared" si="176"/>
        <v>0</v>
      </c>
      <c r="AO93" s="81">
        <f t="shared" si="176"/>
        <v>0</v>
      </c>
      <c r="AP93" s="81">
        <f t="shared" si="176"/>
        <v>0</v>
      </c>
      <c r="AQ93" s="81">
        <f t="shared" si="176"/>
        <v>0</v>
      </c>
      <c r="AR93" s="81">
        <f t="shared" si="176"/>
        <v>0</v>
      </c>
      <c r="AS93" s="81">
        <f t="shared" si="176"/>
        <v>0</v>
      </c>
      <c r="AT93" s="81">
        <f t="shared" si="176"/>
        <v>0</v>
      </c>
      <c r="AU93" s="81">
        <f t="shared" si="176"/>
        <v>0</v>
      </c>
      <c r="AV93" s="81">
        <f t="shared" si="176"/>
        <v>0</v>
      </c>
      <c r="AW93" s="81">
        <f t="shared" si="176"/>
        <v>0</v>
      </c>
      <c r="AX93" s="81">
        <f t="shared" si="176"/>
        <v>0</v>
      </c>
      <c r="AY93" s="81">
        <f t="shared" si="176"/>
        <v>0</v>
      </c>
      <c r="AZ93" s="81">
        <f t="shared" si="176"/>
        <v>0</v>
      </c>
      <c r="BA93" s="82">
        <f t="shared" si="176"/>
        <v>0</v>
      </c>
      <c r="BB93" s="39" t="str">
        <f t="shared" si="24"/>
        <v>Liste 1</v>
      </c>
      <c r="BC93" s="39"/>
      <c r="BD93" s="39"/>
      <c r="BE93" s="39"/>
      <c r="BF93" s="39"/>
      <c r="BG93" s="39"/>
      <c r="BH93" s="39"/>
      <c r="BI93" s="39"/>
      <c r="BJ93" s="39"/>
      <c r="BK93" s="39"/>
      <c r="BL93" s="39"/>
      <c r="BM93" s="39"/>
    </row>
    <row r="94" spans="1:65" ht="16" x14ac:dyDescent="0.2">
      <c r="A94" s="77">
        <v>78</v>
      </c>
      <c r="B94" s="78">
        <f t="shared" ref="B94:R94" si="177">B$12/(AK93+1)</f>
        <v>0.51351351351351349</v>
      </c>
      <c r="C94" s="78">
        <f t="shared" si="177"/>
        <v>0.52380952380952384</v>
      </c>
      <c r="D94" s="78">
        <f t="shared" si="177"/>
        <v>0</v>
      </c>
      <c r="E94" s="78">
        <f t="shared" si="177"/>
        <v>0</v>
      </c>
      <c r="F94" s="78">
        <f t="shared" si="177"/>
        <v>0</v>
      </c>
      <c r="G94" s="78">
        <f t="shared" si="177"/>
        <v>0</v>
      </c>
      <c r="H94" s="78">
        <f t="shared" si="177"/>
        <v>0</v>
      </c>
      <c r="I94" s="78">
        <f t="shared" si="177"/>
        <v>0</v>
      </c>
      <c r="J94" s="78">
        <f t="shared" si="177"/>
        <v>0</v>
      </c>
      <c r="K94" s="78">
        <f t="shared" si="177"/>
        <v>0</v>
      </c>
      <c r="L94" s="78">
        <f t="shared" si="177"/>
        <v>0</v>
      </c>
      <c r="M94" s="78">
        <f t="shared" si="177"/>
        <v>0</v>
      </c>
      <c r="N94" s="78">
        <f t="shared" si="177"/>
        <v>0</v>
      </c>
      <c r="O94" s="78">
        <f t="shared" si="177"/>
        <v>0</v>
      </c>
      <c r="P94" s="78">
        <f t="shared" si="177"/>
        <v>0</v>
      </c>
      <c r="Q94" s="78">
        <f t="shared" si="177"/>
        <v>0</v>
      </c>
      <c r="R94" s="79">
        <f t="shared" si="177"/>
        <v>0</v>
      </c>
      <c r="S94" s="79">
        <f t="shared" si="5"/>
        <v>0.52380952380952384</v>
      </c>
      <c r="T94" s="80">
        <f t="shared" si="6"/>
        <v>0</v>
      </c>
      <c r="U94" s="80">
        <f t="shared" si="7"/>
        <v>1</v>
      </c>
      <c r="V94" s="80">
        <f t="shared" si="8"/>
        <v>0</v>
      </c>
      <c r="W94" s="80">
        <f t="shared" si="9"/>
        <v>0</v>
      </c>
      <c r="X94" s="80">
        <f t="shared" si="10"/>
        <v>0</v>
      </c>
      <c r="Y94" s="80">
        <f t="shared" si="11"/>
        <v>0</v>
      </c>
      <c r="Z94" s="80">
        <f t="shared" si="12"/>
        <v>0</v>
      </c>
      <c r="AA94" s="80">
        <f t="shared" si="13"/>
        <v>0</v>
      </c>
      <c r="AB94" s="80">
        <f t="shared" si="14"/>
        <v>0</v>
      </c>
      <c r="AC94" s="80">
        <f t="shared" si="15"/>
        <v>0</v>
      </c>
      <c r="AD94" s="80">
        <f t="shared" si="16"/>
        <v>0</v>
      </c>
      <c r="AE94" s="80">
        <f t="shared" si="17"/>
        <v>0</v>
      </c>
      <c r="AF94" s="80">
        <f t="shared" si="18"/>
        <v>0</v>
      </c>
      <c r="AG94" s="80">
        <f t="shared" si="19"/>
        <v>0</v>
      </c>
      <c r="AH94" s="80">
        <f t="shared" si="20"/>
        <v>0</v>
      </c>
      <c r="AI94" s="80">
        <f t="shared" si="21"/>
        <v>0</v>
      </c>
      <c r="AJ94" s="80">
        <f t="shared" si="22"/>
        <v>0</v>
      </c>
      <c r="AK94" s="80">
        <f t="shared" ref="AK94:BA94" si="178">T94+AK93</f>
        <v>36</v>
      </c>
      <c r="AL94" s="81">
        <f t="shared" si="178"/>
        <v>42</v>
      </c>
      <c r="AM94" s="81">
        <f t="shared" si="178"/>
        <v>0</v>
      </c>
      <c r="AN94" s="81">
        <f t="shared" si="178"/>
        <v>0</v>
      </c>
      <c r="AO94" s="81">
        <f t="shared" si="178"/>
        <v>0</v>
      </c>
      <c r="AP94" s="81">
        <f t="shared" si="178"/>
        <v>0</v>
      </c>
      <c r="AQ94" s="81">
        <f t="shared" si="178"/>
        <v>0</v>
      </c>
      <c r="AR94" s="81">
        <f t="shared" si="178"/>
        <v>0</v>
      </c>
      <c r="AS94" s="81">
        <f t="shared" si="178"/>
        <v>0</v>
      </c>
      <c r="AT94" s="81">
        <f t="shared" si="178"/>
        <v>0</v>
      </c>
      <c r="AU94" s="81">
        <f t="shared" si="178"/>
        <v>0</v>
      </c>
      <c r="AV94" s="81">
        <f t="shared" si="178"/>
        <v>0</v>
      </c>
      <c r="AW94" s="81">
        <f t="shared" si="178"/>
        <v>0</v>
      </c>
      <c r="AX94" s="81">
        <f t="shared" si="178"/>
        <v>0</v>
      </c>
      <c r="AY94" s="81">
        <f t="shared" si="178"/>
        <v>0</v>
      </c>
      <c r="AZ94" s="81">
        <f t="shared" si="178"/>
        <v>0</v>
      </c>
      <c r="BA94" s="82">
        <f t="shared" si="178"/>
        <v>0</v>
      </c>
      <c r="BB94" s="39" t="str">
        <f t="shared" si="24"/>
        <v>Liste 2</v>
      </c>
      <c r="BC94" s="39"/>
      <c r="BD94" s="39"/>
      <c r="BE94" s="39"/>
      <c r="BF94" s="39"/>
      <c r="BG94" s="39"/>
      <c r="BH94" s="39"/>
      <c r="BI94" s="39"/>
      <c r="BJ94" s="39"/>
      <c r="BK94" s="39"/>
      <c r="BL94" s="39"/>
      <c r="BM94" s="39"/>
    </row>
    <row r="95" spans="1:65" ht="16" x14ac:dyDescent="0.2">
      <c r="A95" s="77">
        <v>79</v>
      </c>
      <c r="B95" s="78">
        <f t="shared" ref="B95:R95" si="179">B$12/(AK94+1)</f>
        <v>0.51351351351351349</v>
      </c>
      <c r="C95" s="78">
        <f t="shared" si="179"/>
        <v>0.51162790697674421</v>
      </c>
      <c r="D95" s="78">
        <f t="shared" si="179"/>
        <v>0</v>
      </c>
      <c r="E95" s="78">
        <f t="shared" si="179"/>
        <v>0</v>
      </c>
      <c r="F95" s="78">
        <f t="shared" si="179"/>
        <v>0</v>
      </c>
      <c r="G95" s="78">
        <f t="shared" si="179"/>
        <v>0</v>
      </c>
      <c r="H95" s="78">
        <f t="shared" si="179"/>
        <v>0</v>
      </c>
      <c r="I95" s="78">
        <f t="shared" si="179"/>
        <v>0</v>
      </c>
      <c r="J95" s="78">
        <f t="shared" si="179"/>
        <v>0</v>
      </c>
      <c r="K95" s="78">
        <f t="shared" si="179"/>
        <v>0</v>
      </c>
      <c r="L95" s="78">
        <f t="shared" si="179"/>
        <v>0</v>
      </c>
      <c r="M95" s="78">
        <f t="shared" si="179"/>
        <v>0</v>
      </c>
      <c r="N95" s="78">
        <f t="shared" si="179"/>
        <v>0</v>
      </c>
      <c r="O95" s="78">
        <f t="shared" si="179"/>
        <v>0</v>
      </c>
      <c r="P95" s="78">
        <f t="shared" si="179"/>
        <v>0</v>
      </c>
      <c r="Q95" s="78">
        <f t="shared" si="179"/>
        <v>0</v>
      </c>
      <c r="R95" s="79">
        <f t="shared" si="179"/>
        <v>0</v>
      </c>
      <c r="S95" s="79">
        <f t="shared" si="5"/>
        <v>0.51351351351351349</v>
      </c>
      <c r="T95" s="80">
        <f t="shared" si="6"/>
        <v>1</v>
      </c>
      <c r="U95" s="80">
        <f t="shared" si="7"/>
        <v>0</v>
      </c>
      <c r="V95" s="80">
        <f t="shared" si="8"/>
        <v>0</v>
      </c>
      <c r="W95" s="80">
        <f t="shared" si="9"/>
        <v>0</v>
      </c>
      <c r="X95" s="80">
        <f t="shared" si="10"/>
        <v>0</v>
      </c>
      <c r="Y95" s="80">
        <f t="shared" si="11"/>
        <v>0</v>
      </c>
      <c r="Z95" s="80">
        <f t="shared" si="12"/>
        <v>0</v>
      </c>
      <c r="AA95" s="80">
        <f t="shared" si="13"/>
        <v>0</v>
      </c>
      <c r="AB95" s="80">
        <f t="shared" si="14"/>
        <v>0</v>
      </c>
      <c r="AC95" s="80">
        <f t="shared" si="15"/>
        <v>0</v>
      </c>
      <c r="AD95" s="80">
        <f t="shared" si="16"/>
        <v>0</v>
      </c>
      <c r="AE95" s="80">
        <f t="shared" si="17"/>
        <v>0</v>
      </c>
      <c r="AF95" s="80">
        <f t="shared" si="18"/>
        <v>0</v>
      </c>
      <c r="AG95" s="80">
        <f t="shared" si="19"/>
        <v>0</v>
      </c>
      <c r="AH95" s="80">
        <f t="shared" si="20"/>
        <v>0</v>
      </c>
      <c r="AI95" s="80">
        <f t="shared" si="21"/>
        <v>0</v>
      </c>
      <c r="AJ95" s="80">
        <f t="shared" si="22"/>
        <v>0</v>
      </c>
      <c r="AK95" s="80">
        <f t="shared" ref="AK95:BA95" si="180">T95+AK94</f>
        <v>37</v>
      </c>
      <c r="AL95" s="81">
        <f t="shared" si="180"/>
        <v>42</v>
      </c>
      <c r="AM95" s="81">
        <f t="shared" si="180"/>
        <v>0</v>
      </c>
      <c r="AN95" s="81">
        <f t="shared" si="180"/>
        <v>0</v>
      </c>
      <c r="AO95" s="81">
        <f t="shared" si="180"/>
        <v>0</v>
      </c>
      <c r="AP95" s="81">
        <f t="shared" si="180"/>
        <v>0</v>
      </c>
      <c r="AQ95" s="81">
        <f t="shared" si="180"/>
        <v>0</v>
      </c>
      <c r="AR95" s="81">
        <f t="shared" si="180"/>
        <v>0</v>
      </c>
      <c r="AS95" s="81">
        <f t="shared" si="180"/>
        <v>0</v>
      </c>
      <c r="AT95" s="81">
        <f t="shared" si="180"/>
        <v>0</v>
      </c>
      <c r="AU95" s="81">
        <f t="shared" si="180"/>
        <v>0</v>
      </c>
      <c r="AV95" s="81">
        <f t="shared" si="180"/>
        <v>0</v>
      </c>
      <c r="AW95" s="81">
        <f t="shared" si="180"/>
        <v>0</v>
      </c>
      <c r="AX95" s="81">
        <f t="shared" si="180"/>
        <v>0</v>
      </c>
      <c r="AY95" s="81">
        <f t="shared" si="180"/>
        <v>0</v>
      </c>
      <c r="AZ95" s="81">
        <f t="shared" si="180"/>
        <v>0</v>
      </c>
      <c r="BA95" s="82">
        <f t="shared" si="180"/>
        <v>0</v>
      </c>
      <c r="BB95" s="39" t="str">
        <f t="shared" si="24"/>
        <v>Liste 1</v>
      </c>
      <c r="BC95" s="39"/>
      <c r="BD95" s="39"/>
      <c r="BE95" s="39"/>
      <c r="BF95" s="39"/>
      <c r="BG95" s="39"/>
      <c r="BH95" s="39"/>
      <c r="BI95" s="39"/>
      <c r="BJ95" s="39"/>
      <c r="BK95" s="39"/>
      <c r="BL95" s="39"/>
      <c r="BM95" s="39"/>
    </row>
    <row r="96" spans="1:65" ht="16" x14ac:dyDescent="0.2">
      <c r="A96" s="77">
        <v>80</v>
      </c>
      <c r="B96" s="78">
        <f t="shared" ref="B96:R96" si="181">B$12/(AK95+1)</f>
        <v>0.5</v>
      </c>
      <c r="C96" s="78">
        <f t="shared" si="181"/>
        <v>0.51162790697674421</v>
      </c>
      <c r="D96" s="78">
        <f t="shared" si="181"/>
        <v>0</v>
      </c>
      <c r="E96" s="78">
        <f t="shared" si="181"/>
        <v>0</v>
      </c>
      <c r="F96" s="78">
        <f t="shared" si="181"/>
        <v>0</v>
      </c>
      <c r="G96" s="78">
        <f t="shared" si="181"/>
        <v>0</v>
      </c>
      <c r="H96" s="78">
        <f t="shared" si="181"/>
        <v>0</v>
      </c>
      <c r="I96" s="78">
        <f t="shared" si="181"/>
        <v>0</v>
      </c>
      <c r="J96" s="78">
        <f t="shared" si="181"/>
        <v>0</v>
      </c>
      <c r="K96" s="78">
        <f t="shared" si="181"/>
        <v>0</v>
      </c>
      <c r="L96" s="78">
        <f t="shared" si="181"/>
        <v>0</v>
      </c>
      <c r="M96" s="78">
        <f t="shared" si="181"/>
        <v>0</v>
      </c>
      <c r="N96" s="78">
        <f t="shared" si="181"/>
        <v>0</v>
      </c>
      <c r="O96" s="78">
        <f t="shared" si="181"/>
        <v>0</v>
      </c>
      <c r="P96" s="78">
        <f t="shared" si="181"/>
        <v>0</v>
      </c>
      <c r="Q96" s="78">
        <f t="shared" si="181"/>
        <v>0</v>
      </c>
      <c r="R96" s="79">
        <f t="shared" si="181"/>
        <v>0</v>
      </c>
      <c r="S96" s="79">
        <f t="shared" si="5"/>
        <v>0.51162790697674421</v>
      </c>
      <c r="T96" s="80">
        <f t="shared" si="6"/>
        <v>0</v>
      </c>
      <c r="U96" s="80">
        <f t="shared" si="7"/>
        <v>1</v>
      </c>
      <c r="V96" s="80">
        <f t="shared" si="8"/>
        <v>0</v>
      </c>
      <c r="W96" s="80">
        <f t="shared" si="9"/>
        <v>0</v>
      </c>
      <c r="X96" s="80">
        <f t="shared" si="10"/>
        <v>0</v>
      </c>
      <c r="Y96" s="80">
        <f t="shared" si="11"/>
        <v>0</v>
      </c>
      <c r="Z96" s="80">
        <f t="shared" si="12"/>
        <v>0</v>
      </c>
      <c r="AA96" s="80">
        <f t="shared" si="13"/>
        <v>0</v>
      </c>
      <c r="AB96" s="80">
        <f t="shared" si="14"/>
        <v>0</v>
      </c>
      <c r="AC96" s="80">
        <f t="shared" si="15"/>
        <v>0</v>
      </c>
      <c r="AD96" s="80">
        <f t="shared" si="16"/>
        <v>0</v>
      </c>
      <c r="AE96" s="80">
        <f t="shared" si="17"/>
        <v>0</v>
      </c>
      <c r="AF96" s="80">
        <f t="shared" si="18"/>
        <v>0</v>
      </c>
      <c r="AG96" s="80">
        <f t="shared" si="19"/>
        <v>0</v>
      </c>
      <c r="AH96" s="80">
        <f t="shared" si="20"/>
        <v>0</v>
      </c>
      <c r="AI96" s="80">
        <f t="shared" si="21"/>
        <v>0</v>
      </c>
      <c r="AJ96" s="80">
        <f t="shared" si="22"/>
        <v>0</v>
      </c>
      <c r="AK96" s="80">
        <f t="shared" ref="AK96:BA96" si="182">T96+AK95</f>
        <v>37</v>
      </c>
      <c r="AL96" s="81">
        <f t="shared" si="182"/>
        <v>43</v>
      </c>
      <c r="AM96" s="81">
        <f t="shared" si="182"/>
        <v>0</v>
      </c>
      <c r="AN96" s="81">
        <f t="shared" si="182"/>
        <v>0</v>
      </c>
      <c r="AO96" s="81">
        <f t="shared" si="182"/>
        <v>0</v>
      </c>
      <c r="AP96" s="81">
        <f t="shared" si="182"/>
        <v>0</v>
      </c>
      <c r="AQ96" s="81">
        <f t="shared" si="182"/>
        <v>0</v>
      </c>
      <c r="AR96" s="81">
        <f t="shared" si="182"/>
        <v>0</v>
      </c>
      <c r="AS96" s="81">
        <f t="shared" si="182"/>
        <v>0</v>
      </c>
      <c r="AT96" s="81">
        <f t="shared" si="182"/>
        <v>0</v>
      </c>
      <c r="AU96" s="81">
        <f t="shared" si="182"/>
        <v>0</v>
      </c>
      <c r="AV96" s="81">
        <f t="shared" si="182"/>
        <v>0</v>
      </c>
      <c r="AW96" s="81">
        <f t="shared" si="182"/>
        <v>0</v>
      </c>
      <c r="AX96" s="81">
        <f t="shared" si="182"/>
        <v>0</v>
      </c>
      <c r="AY96" s="81">
        <f t="shared" si="182"/>
        <v>0</v>
      </c>
      <c r="AZ96" s="81">
        <f t="shared" si="182"/>
        <v>0</v>
      </c>
      <c r="BA96" s="82">
        <f t="shared" si="182"/>
        <v>0</v>
      </c>
      <c r="BB96" s="39" t="str">
        <f t="shared" si="24"/>
        <v>Liste 2</v>
      </c>
      <c r="BC96" s="39"/>
      <c r="BD96" s="39"/>
      <c r="BE96" s="39"/>
      <c r="BF96" s="39"/>
      <c r="BG96" s="39"/>
      <c r="BH96" s="39"/>
      <c r="BI96" s="39"/>
      <c r="BJ96" s="39"/>
      <c r="BK96" s="39"/>
      <c r="BL96" s="39"/>
      <c r="BM96" s="39"/>
    </row>
    <row r="97" spans="1:65" ht="16" x14ac:dyDescent="0.2">
      <c r="A97" s="77">
        <v>81</v>
      </c>
      <c r="B97" s="78">
        <f t="shared" ref="B97:R97" si="183">B$12/(AK96+1)</f>
        <v>0.5</v>
      </c>
      <c r="C97" s="78">
        <f t="shared" si="183"/>
        <v>0.5</v>
      </c>
      <c r="D97" s="78">
        <f t="shared" si="183"/>
        <v>0</v>
      </c>
      <c r="E97" s="78">
        <f t="shared" si="183"/>
        <v>0</v>
      </c>
      <c r="F97" s="78">
        <f t="shared" si="183"/>
        <v>0</v>
      </c>
      <c r="G97" s="78">
        <f t="shared" si="183"/>
        <v>0</v>
      </c>
      <c r="H97" s="78">
        <f t="shared" si="183"/>
        <v>0</v>
      </c>
      <c r="I97" s="78">
        <f t="shared" si="183"/>
        <v>0</v>
      </c>
      <c r="J97" s="78">
        <f t="shared" si="183"/>
        <v>0</v>
      </c>
      <c r="K97" s="78">
        <f t="shared" si="183"/>
        <v>0</v>
      </c>
      <c r="L97" s="78">
        <f t="shared" si="183"/>
        <v>0</v>
      </c>
      <c r="M97" s="78">
        <f t="shared" si="183"/>
        <v>0</v>
      </c>
      <c r="N97" s="78">
        <f t="shared" si="183"/>
        <v>0</v>
      </c>
      <c r="O97" s="78">
        <f t="shared" si="183"/>
        <v>0</v>
      </c>
      <c r="P97" s="78">
        <f t="shared" si="183"/>
        <v>0</v>
      </c>
      <c r="Q97" s="78">
        <f t="shared" si="183"/>
        <v>0</v>
      </c>
      <c r="R97" s="79">
        <f t="shared" si="183"/>
        <v>0</v>
      </c>
      <c r="S97" s="79">
        <f t="shared" si="5"/>
        <v>0.5</v>
      </c>
      <c r="T97" s="80">
        <f t="shared" si="6"/>
        <v>1</v>
      </c>
      <c r="U97" s="80">
        <f t="shared" si="7"/>
        <v>0</v>
      </c>
      <c r="V97" s="80">
        <f t="shared" si="8"/>
        <v>0</v>
      </c>
      <c r="W97" s="80">
        <f t="shared" si="9"/>
        <v>0</v>
      </c>
      <c r="X97" s="80">
        <f t="shared" si="10"/>
        <v>0</v>
      </c>
      <c r="Y97" s="80">
        <f t="shared" si="11"/>
        <v>0</v>
      </c>
      <c r="Z97" s="80">
        <f t="shared" si="12"/>
        <v>0</v>
      </c>
      <c r="AA97" s="80">
        <f t="shared" si="13"/>
        <v>0</v>
      </c>
      <c r="AB97" s="80">
        <f t="shared" si="14"/>
        <v>0</v>
      </c>
      <c r="AC97" s="80">
        <f t="shared" si="15"/>
        <v>0</v>
      </c>
      <c r="AD97" s="80">
        <f t="shared" si="16"/>
        <v>0</v>
      </c>
      <c r="AE97" s="80">
        <f t="shared" si="17"/>
        <v>0</v>
      </c>
      <c r="AF97" s="80">
        <f t="shared" si="18"/>
        <v>0</v>
      </c>
      <c r="AG97" s="80">
        <f t="shared" si="19"/>
        <v>0</v>
      </c>
      <c r="AH97" s="80">
        <f t="shared" si="20"/>
        <v>0</v>
      </c>
      <c r="AI97" s="80">
        <f t="shared" si="21"/>
        <v>0</v>
      </c>
      <c r="AJ97" s="80">
        <f t="shared" si="22"/>
        <v>0</v>
      </c>
      <c r="AK97" s="80">
        <f t="shared" ref="AK97:BA97" si="184">T97+AK96</f>
        <v>38</v>
      </c>
      <c r="AL97" s="81">
        <f t="shared" si="184"/>
        <v>43</v>
      </c>
      <c r="AM97" s="81">
        <f t="shared" si="184"/>
        <v>0</v>
      </c>
      <c r="AN97" s="81">
        <f t="shared" si="184"/>
        <v>0</v>
      </c>
      <c r="AO97" s="81">
        <f t="shared" si="184"/>
        <v>0</v>
      </c>
      <c r="AP97" s="81">
        <f t="shared" si="184"/>
        <v>0</v>
      </c>
      <c r="AQ97" s="81">
        <f t="shared" si="184"/>
        <v>0</v>
      </c>
      <c r="AR97" s="81">
        <f t="shared" si="184"/>
        <v>0</v>
      </c>
      <c r="AS97" s="81">
        <f t="shared" si="184"/>
        <v>0</v>
      </c>
      <c r="AT97" s="81">
        <f t="shared" si="184"/>
        <v>0</v>
      </c>
      <c r="AU97" s="81">
        <f t="shared" si="184"/>
        <v>0</v>
      </c>
      <c r="AV97" s="81">
        <f t="shared" si="184"/>
        <v>0</v>
      </c>
      <c r="AW97" s="81">
        <f t="shared" si="184"/>
        <v>0</v>
      </c>
      <c r="AX97" s="81">
        <f t="shared" si="184"/>
        <v>0</v>
      </c>
      <c r="AY97" s="81">
        <f t="shared" si="184"/>
        <v>0</v>
      </c>
      <c r="AZ97" s="81">
        <f t="shared" si="184"/>
        <v>0</v>
      </c>
      <c r="BA97" s="82">
        <f t="shared" si="184"/>
        <v>0</v>
      </c>
      <c r="BB97" s="39" t="str">
        <f t="shared" si="24"/>
        <v>Liste 1</v>
      </c>
      <c r="BC97" s="39"/>
      <c r="BD97" s="39"/>
      <c r="BE97" s="39"/>
      <c r="BF97" s="39"/>
      <c r="BG97" s="39"/>
      <c r="BH97" s="39"/>
      <c r="BI97" s="39"/>
      <c r="BJ97" s="39"/>
      <c r="BK97" s="39"/>
      <c r="BL97" s="39"/>
      <c r="BM97" s="39"/>
    </row>
    <row r="98" spans="1:65" ht="16" x14ac:dyDescent="0.2">
      <c r="A98" s="77">
        <v>82</v>
      </c>
      <c r="B98" s="78">
        <f t="shared" ref="B98:R98" si="185">B$12/(AK97+1)</f>
        <v>0.48717948717948717</v>
      </c>
      <c r="C98" s="78">
        <f t="shared" si="185"/>
        <v>0.5</v>
      </c>
      <c r="D98" s="78">
        <f t="shared" si="185"/>
        <v>0</v>
      </c>
      <c r="E98" s="78">
        <f t="shared" si="185"/>
        <v>0</v>
      </c>
      <c r="F98" s="78">
        <f t="shared" si="185"/>
        <v>0</v>
      </c>
      <c r="G98" s="78">
        <f t="shared" si="185"/>
        <v>0</v>
      </c>
      <c r="H98" s="78">
        <f t="shared" si="185"/>
        <v>0</v>
      </c>
      <c r="I98" s="78">
        <f t="shared" si="185"/>
        <v>0</v>
      </c>
      <c r="J98" s="78">
        <f t="shared" si="185"/>
        <v>0</v>
      </c>
      <c r="K98" s="78">
        <f t="shared" si="185"/>
        <v>0</v>
      </c>
      <c r="L98" s="78">
        <f t="shared" si="185"/>
        <v>0</v>
      </c>
      <c r="M98" s="78">
        <f t="shared" si="185"/>
        <v>0</v>
      </c>
      <c r="N98" s="78">
        <f t="shared" si="185"/>
        <v>0</v>
      </c>
      <c r="O98" s="78">
        <f t="shared" si="185"/>
        <v>0</v>
      </c>
      <c r="P98" s="78">
        <f t="shared" si="185"/>
        <v>0</v>
      </c>
      <c r="Q98" s="78">
        <f t="shared" si="185"/>
        <v>0</v>
      </c>
      <c r="R98" s="79">
        <f t="shared" si="185"/>
        <v>0</v>
      </c>
      <c r="S98" s="79">
        <f t="shared" si="5"/>
        <v>0.5</v>
      </c>
      <c r="T98" s="80">
        <f t="shared" si="6"/>
        <v>0</v>
      </c>
      <c r="U98" s="80">
        <f t="shared" si="7"/>
        <v>1</v>
      </c>
      <c r="V98" s="80">
        <f t="shared" si="8"/>
        <v>0</v>
      </c>
      <c r="W98" s="80">
        <f t="shared" si="9"/>
        <v>0</v>
      </c>
      <c r="X98" s="80">
        <f t="shared" si="10"/>
        <v>0</v>
      </c>
      <c r="Y98" s="80">
        <f t="shared" si="11"/>
        <v>0</v>
      </c>
      <c r="Z98" s="80">
        <f t="shared" si="12"/>
        <v>0</v>
      </c>
      <c r="AA98" s="80">
        <f t="shared" si="13"/>
        <v>0</v>
      </c>
      <c r="AB98" s="80">
        <f t="shared" si="14"/>
        <v>0</v>
      </c>
      <c r="AC98" s="80">
        <f t="shared" si="15"/>
        <v>0</v>
      </c>
      <c r="AD98" s="80">
        <f t="shared" si="16"/>
        <v>0</v>
      </c>
      <c r="AE98" s="80">
        <f t="shared" si="17"/>
        <v>0</v>
      </c>
      <c r="AF98" s="80">
        <f t="shared" si="18"/>
        <v>0</v>
      </c>
      <c r="AG98" s="80">
        <f t="shared" si="19"/>
        <v>0</v>
      </c>
      <c r="AH98" s="80">
        <f t="shared" si="20"/>
        <v>0</v>
      </c>
      <c r="AI98" s="80">
        <f t="shared" si="21"/>
        <v>0</v>
      </c>
      <c r="AJ98" s="80">
        <f t="shared" si="22"/>
        <v>0</v>
      </c>
      <c r="AK98" s="80">
        <f t="shared" ref="AK98:BA98" si="186">T98+AK97</f>
        <v>38</v>
      </c>
      <c r="AL98" s="81">
        <f t="shared" si="186"/>
        <v>44</v>
      </c>
      <c r="AM98" s="81">
        <f t="shared" si="186"/>
        <v>0</v>
      </c>
      <c r="AN98" s="81">
        <f t="shared" si="186"/>
        <v>0</v>
      </c>
      <c r="AO98" s="81">
        <f t="shared" si="186"/>
        <v>0</v>
      </c>
      <c r="AP98" s="81">
        <f t="shared" si="186"/>
        <v>0</v>
      </c>
      <c r="AQ98" s="81">
        <f t="shared" si="186"/>
        <v>0</v>
      </c>
      <c r="AR98" s="81">
        <f t="shared" si="186"/>
        <v>0</v>
      </c>
      <c r="AS98" s="81">
        <f t="shared" si="186"/>
        <v>0</v>
      </c>
      <c r="AT98" s="81">
        <f t="shared" si="186"/>
        <v>0</v>
      </c>
      <c r="AU98" s="81">
        <f t="shared" si="186"/>
        <v>0</v>
      </c>
      <c r="AV98" s="81">
        <f t="shared" si="186"/>
        <v>0</v>
      </c>
      <c r="AW98" s="81">
        <f t="shared" si="186"/>
        <v>0</v>
      </c>
      <c r="AX98" s="81">
        <f t="shared" si="186"/>
        <v>0</v>
      </c>
      <c r="AY98" s="81">
        <f t="shared" si="186"/>
        <v>0</v>
      </c>
      <c r="AZ98" s="81">
        <f t="shared" si="186"/>
        <v>0</v>
      </c>
      <c r="BA98" s="82">
        <f t="shared" si="186"/>
        <v>0</v>
      </c>
      <c r="BB98" s="39" t="str">
        <f t="shared" si="24"/>
        <v>Liste 2</v>
      </c>
      <c r="BC98" s="39"/>
      <c r="BD98" s="39"/>
      <c r="BE98" s="39"/>
      <c r="BF98" s="39"/>
      <c r="BG98" s="39"/>
      <c r="BH98" s="39"/>
      <c r="BI98" s="39"/>
      <c r="BJ98" s="39"/>
      <c r="BK98" s="39"/>
      <c r="BL98" s="39"/>
      <c r="BM98" s="39"/>
    </row>
    <row r="99" spans="1:65" ht="16" x14ac:dyDescent="0.2">
      <c r="A99" s="77">
        <v>83</v>
      </c>
      <c r="B99" s="78">
        <f t="shared" ref="B99:R99" si="187">B$12/(AK98+1)</f>
        <v>0.48717948717948717</v>
      </c>
      <c r="C99" s="78">
        <f t="shared" si="187"/>
        <v>0.48888888888888887</v>
      </c>
      <c r="D99" s="78">
        <f t="shared" si="187"/>
        <v>0</v>
      </c>
      <c r="E99" s="78">
        <f t="shared" si="187"/>
        <v>0</v>
      </c>
      <c r="F99" s="78">
        <f t="shared" si="187"/>
        <v>0</v>
      </c>
      <c r="G99" s="78">
        <f t="shared" si="187"/>
        <v>0</v>
      </c>
      <c r="H99" s="78">
        <f t="shared" si="187"/>
        <v>0</v>
      </c>
      <c r="I99" s="78">
        <f t="shared" si="187"/>
        <v>0</v>
      </c>
      <c r="J99" s="78">
        <f t="shared" si="187"/>
        <v>0</v>
      </c>
      <c r="K99" s="78">
        <f t="shared" si="187"/>
        <v>0</v>
      </c>
      <c r="L99" s="78">
        <f t="shared" si="187"/>
        <v>0</v>
      </c>
      <c r="M99" s="78">
        <f t="shared" si="187"/>
        <v>0</v>
      </c>
      <c r="N99" s="78">
        <f t="shared" si="187"/>
        <v>0</v>
      </c>
      <c r="O99" s="78">
        <f t="shared" si="187"/>
        <v>0</v>
      </c>
      <c r="P99" s="78">
        <f t="shared" si="187"/>
        <v>0</v>
      </c>
      <c r="Q99" s="78">
        <f t="shared" si="187"/>
        <v>0</v>
      </c>
      <c r="R99" s="79">
        <f t="shared" si="187"/>
        <v>0</v>
      </c>
      <c r="S99" s="79">
        <f t="shared" si="5"/>
        <v>0.48888888888888887</v>
      </c>
      <c r="T99" s="80">
        <f t="shared" si="6"/>
        <v>0</v>
      </c>
      <c r="U99" s="80">
        <f t="shared" si="7"/>
        <v>1</v>
      </c>
      <c r="V99" s="80">
        <f t="shared" si="8"/>
        <v>0</v>
      </c>
      <c r="W99" s="80">
        <f t="shared" si="9"/>
        <v>0</v>
      </c>
      <c r="X99" s="80">
        <f t="shared" si="10"/>
        <v>0</v>
      </c>
      <c r="Y99" s="80">
        <f t="shared" si="11"/>
        <v>0</v>
      </c>
      <c r="Z99" s="80">
        <f t="shared" si="12"/>
        <v>0</v>
      </c>
      <c r="AA99" s="80">
        <f t="shared" si="13"/>
        <v>0</v>
      </c>
      <c r="AB99" s="80">
        <f t="shared" si="14"/>
        <v>0</v>
      </c>
      <c r="AC99" s="80">
        <f t="shared" si="15"/>
        <v>0</v>
      </c>
      <c r="AD99" s="80">
        <f t="shared" si="16"/>
        <v>0</v>
      </c>
      <c r="AE99" s="80">
        <f t="shared" si="17"/>
        <v>0</v>
      </c>
      <c r="AF99" s="80">
        <f t="shared" si="18"/>
        <v>0</v>
      </c>
      <c r="AG99" s="80">
        <f t="shared" si="19"/>
        <v>0</v>
      </c>
      <c r="AH99" s="80">
        <f t="shared" si="20"/>
        <v>0</v>
      </c>
      <c r="AI99" s="80">
        <f t="shared" si="21"/>
        <v>0</v>
      </c>
      <c r="AJ99" s="80">
        <f t="shared" si="22"/>
        <v>0</v>
      </c>
      <c r="AK99" s="80">
        <f t="shared" ref="AK99:BA99" si="188">T99+AK98</f>
        <v>38</v>
      </c>
      <c r="AL99" s="81">
        <f t="shared" si="188"/>
        <v>45</v>
      </c>
      <c r="AM99" s="81">
        <f t="shared" si="188"/>
        <v>0</v>
      </c>
      <c r="AN99" s="81">
        <f t="shared" si="188"/>
        <v>0</v>
      </c>
      <c r="AO99" s="81">
        <f t="shared" si="188"/>
        <v>0</v>
      </c>
      <c r="AP99" s="81">
        <f t="shared" si="188"/>
        <v>0</v>
      </c>
      <c r="AQ99" s="81">
        <f t="shared" si="188"/>
        <v>0</v>
      </c>
      <c r="AR99" s="81">
        <f t="shared" si="188"/>
        <v>0</v>
      </c>
      <c r="AS99" s="81">
        <f t="shared" si="188"/>
        <v>0</v>
      </c>
      <c r="AT99" s="81">
        <f t="shared" si="188"/>
        <v>0</v>
      </c>
      <c r="AU99" s="81">
        <f t="shared" si="188"/>
        <v>0</v>
      </c>
      <c r="AV99" s="81">
        <f t="shared" si="188"/>
        <v>0</v>
      </c>
      <c r="AW99" s="81">
        <f t="shared" si="188"/>
        <v>0</v>
      </c>
      <c r="AX99" s="81">
        <f t="shared" si="188"/>
        <v>0</v>
      </c>
      <c r="AY99" s="81">
        <f t="shared" si="188"/>
        <v>0</v>
      </c>
      <c r="AZ99" s="81">
        <f t="shared" si="188"/>
        <v>0</v>
      </c>
      <c r="BA99" s="82">
        <f t="shared" si="188"/>
        <v>0</v>
      </c>
      <c r="BB99" s="39" t="str">
        <f t="shared" si="24"/>
        <v>Liste 2</v>
      </c>
      <c r="BC99" s="39"/>
      <c r="BD99" s="39"/>
      <c r="BE99" s="39"/>
      <c r="BF99" s="39"/>
      <c r="BG99" s="39"/>
      <c r="BH99" s="39"/>
      <c r="BI99" s="39"/>
      <c r="BJ99" s="39"/>
      <c r="BK99" s="39"/>
      <c r="BL99" s="39"/>
      <c r="BM99" s="39"/>
    </row>
    <row r="100" spans="1:65" ht="16" x14ac:dyDescent="0.2">
      <c r="A100" s="77">
        <v>84</v>
      </c>
      <c r="B100" s="78">
        <f t="shared" ref="B100:R100" si="189">B$12/(AK99+1)</f>
        <v>0.48717948717948717</v>
      </c>
      <c r="C100" s="78">
        <f t="shared" si="189"/>
        <v>0.47826086956521741</v>
      </c>
      <c r="D100" s="78">
        <f t="shared" si="189"/>
        <v>0</v>
      </c>
      <c r="E100" s="78">
        <f t="shared" si="189"/>
        <v>0</v>
      </c>
      <c r="F100" s="78">
        <f t="shared" si="189"/>
        <v>0</v>
      </c>
      <c r="G100" s="78">
        <f t="shared" si="189"/>
        <v>0</v>
      </c>
      <c r="H100" s="78">
        <f t="shared" si="189"/>
        <v>0</v>
      </c>
      <c r="I100" s="78">
        <f t="shared" si="189"/>
        <v>0</v>
      </c>
      <c r="J100" s="78">
        <f t="shared" si="189"/>
        <v>0</v>
      </c>
      <c r="K100" s="78">
        <f t="shared" si="189"/>
        <v>0</v>
      </c>
      <c r="L100" s="78">
        <f t="shared" si="189"/>
        <v>0</v>
      </c>
      <c r="M100" s="78">
        <f t="shared" si="189"/>
        <v>0</v>
      </c>
      <c r="N100" s="78">
        <f t="shared" si="189"/>
        <v>0</v>
      </c>
      <c r="O100" s="78">
        <f t="shared" si="189"/>
        <v>0</v>
      </c>
      <c r="P100" s="78">
        <f t="shared" si="189"/>
        <v>0</v>
      </c>
      <c r="Q100" s="78">
        <f t="shared" si="189"/>
        <v>0</v>
      </c>
      <c r="R100" s="79">
        <f t="shared" si="189"/>
        <v>0</v>
      </c>
      <c r="S100" s="79">
        <f t="shared" si="5"/>
        <v>0.48717948717948717</v>
      </c>
      <c r="T100" s="80">
        <f t="shared" si="6"/>
        <v>1</v>
      </c>
      <c r="U100" s="80">
        <f t="shared" si="7"/>
        <v>0</v>
      </c>
      <c r="V100" s="80">
        <f t="shared" si="8"/>
        <v>0</v>
      </c>
      <c r="W100" s="80">
        <f t="shared" si="9"/>
        <v>0</v>
      </c>
      <c r="X100" s="80">
        <f t="shared" si="10"/>
        <v>0</v>
      </c>
      <c r="Y100" s="80">
        <f t="shared" si="11"/>
        <v>0</v>
      </c>
      <c r="Z100" s="80">
        <f t="shared" si="12"/>
        <v>0</v>
      </c>
      <c r="AA100" s="80">
        <f t="shared" si="13"/>
        <v>0</v>
      </c>
      <c r="AB100" s="80">
        <f t="shared" si="14"/>
        <v>0</v>
      </c>
      <c r="AC100" s="80">
        <f t="shared" si="15"/>
        <v>0</v>
      </c>
      <c r="AD100" s="80">
        <f t="shared" si="16"/>
        <v>0</v>
      </c>
      <c r="AE100" s="80">
        <f t="shared" si="17"/>
        <v>0</v>
      </c>
      <c r="AF100" s="80">
        <f t="shared" si="18"/>
        <v>0</v>
      </c>
      <c r="AG100" s="80">
        <f t="shared" si="19"/>
        <v>0</v>
      </c>
      <c r="AH100" s="80">
        <f t="shared" si="20"/>
        <v>0</v>
      </c>
      <c r="AI100" s="80">
        <f t="shared" si="21"/>
        <v>0</v>
      </c>
      <c r="AJ100" s="80">
        <f t="shared" si="22"/>
        <v>0</v>
      </c>
      <c r="AK100" s="80">
        <f t="shared" ref="AK100:BA100" si="190">T100+AK99</f>
        <v>39</v>
      </c>
      <c r="AL100" s="81">
        <f t="shared" si="190"/>
        <v>45</v>
      </c>
      <c r="AM100" s="81">
        <f t="shared" si="190"/>
        <v>0</v>
      </c>
      <c r="AN100" s="81">
        <f t="shared" si="190"/>
        <v>0</v>
      </c>
      <c r="AO100" s="81">
        <f t="shared" si="190"/>
        <v>0</v>
      </c>
      <c r="AP100" s="81">
        <f t="shared" si="190"/>
        <v>0</v>
      </c>
      <c r="AQ100" s="81">
        <f t="shared" si="190"/>
        <v>0</v>
      </c>
      <c r="AR100" s="81">
        <f t="shared" si="190"/>
        <v>0</v>
      </c>
      <c r="AS100" s="81">
        <f t="shared" si="190"/>
        <v>0</v>
      </c>
      <c r="AT100" s="81">
        <f t="shared" si="190"/>
        <v>0</v>
      </c>
      <c r="AU100" s="81">
        <f t="shared" si="190"/>
        <v>0</v>
      </c>
      <c r="AV100" s="81">
        <f t="shared" si="190"/>
        <v>0</v>
      </c>
      <c r="AW100" s="81">
        <f t="shared" si="190"/>
        <v>0</v>
      </c>
      <c r="AX100" s="81">
        <f t="shared" si="190"/>
        <v>0</v>
      </c>
      <c r="AY100" s="81">
        <f t="shared" si="190"/>
        <v>0</v>
      </c>
      <c r="AZ100" s="81">
        <f t="shared" si="190"/>
        <v>0</v>
      </c>
      <c r="BA100" s="82">
        <f t="shared" si="190"/>
        <v>0</v>
      </c>
      <c r="BB100" s="39" t="str">
        <f t="shared" si="24"/>
        <v>Liste 1</v>
      </c>
      <c r="BC100" s="39"/>
      <c r="BD100" s="39"/>
      <c r="BE100" s="39"/>
      <c r="BF100" s="39"/>
      <c r="BG100" s="39"/>
      <c r="BH100" s="39"/>
      <c r="BI100" s="39"/>
      <c r="BJ100" s="39"/>
      <c r="BK100" s="39"/>
      <c r="BL100" s="39"/>
      <c r="BM100" s="39"/>
    </row>
    <row r="101" spans="1:65" ht="16" x14ac:dyDescent="0.2">
      <c r="A101" s="77">
        <v>85</v>
      </c>
      <c r="B101" s="78">
        <f t="shared" ref="B101:R101" si="191">B$12/(AK100+1)</f>
        <v>0.47499999999999998</v>
      </c>
      <c r="C101" s="78">
        <f t="shared" si="191"/>
        <v>0.47826086956521741</v>
      </c>
      <c r="D101" s="78">
        <f t="shared" si="191"/>
        <v>0</v>
      </c>
      <c r="E101" s="78">
        <f t="shared" si="191"/>
        <v>0</v>
      </c>
      <c r="F101" s="78">
        <f t="shared" si="191"/>
        <v>0</v>
      </c>
      <c r="G101" s="78">
        <f t="shared" si="191"/>
        <v>0</v>
      </c>
      <c r="H101" s="78">
        <f t="shared" si="191"/>
        <v>0</v>
      </c>
      <c r="I101" s="78">
        <f t="shared" si="191"/>
        <v>0</v>
      </c>
      <c r="J101" s="78">
        <f t="shared" si="191"/>
        <v>0</v>
      </c>
      <c r="K101" s="78">
        <f t="shared" si="191"/>
        <v>0</v>
      </c>
      <c r="L101" s="78">
        <f t="shared" si="191"/>
        <v>0</v>
      </c>
      <c r="M101" s="78">
        <f t="shared" si="191"/>
        <v>0</v>
      </c>
      <c r="N101" s="78">
        <f t="shared" si="191"/>
        <v>0</v>
      </c>
      <c r="O101" s="78">
        <f t="shared" si="191"/>
        <v>0</v>
      </c>
      <c r="P101" s="78">
        <f t="shared" si="191"/>
        <v>0</v>
      </c>
      <c r="Q101" s="78">
        <f t="shared" si="191"/>
        <v>0</v>
      </c>
      <c r="R101" s="79">
        <f t="shared" si="191"/>
        <v>0</v>
      </c>
      <c r="S101" s="79">
        <f t="shared" si="5"/>
        <v>0.47826086956521741</v>
      </c>
      <c r="T101" s="80">
        <f t="shared" si="6"/>
        <v>0</v>
      </c>
      <c r="U101" s="80">
        <f t="shared" si="7"/>
        <v>1</v>
      </c>
      <c r="V101" s="80">
        <f t="shared" si="8"/>
        <v>0</v>
      </c>
      <c r="W101" s="80">
        <f t="shared" si="9"/>
        <v>0</v>
      </c>
      <c r="X101" s="80">
        <f t="shared" si="10"/>
        <v>0</v>
      </c>
      <c r="Y101" s="80">
        <f t="shared" si="11"/>
        <v>0</v>
      </c>
      <c r="Z101" s="80">
        <f t="shared" si="12"/>
        <v>0</v>
      </c>
      <c r="AA101" s="80">
        <f t="shared" si="13"/>
        <v>0</v>
      </c>
      <c r="AB101" s="80">
        <f t="shared" si="14"/>
        <v>0</v>
      </c>
      <c r="AC101" s="80">
        <f t="shared" si="15"/>
        <v>0</v>
      </c>
      <c r="AD101" s="80">
        <f t="shared" si="16"/>
        <v>0</v>
      </c>
      <c r="AE101" s="80">
        <f t="shared" si="17"/>
        <v>0</v>
      </c>
      <c r="AF101" s="80">
        <f t="shared" si="18"/>
        <v>0</v>
      </c>
      <c r="AG101" s="80">
        <f t="shared" si="19"/>
        <v>0</v>
      </c>
      <c r="AH101" s="80">
        <f t="shared" si="20"/>
        <v>0</v>
      </c>
      <c r="AI101" s="80">
        <f t="shared" si="21"/>
        <v>0</v>
      </c>
      <c r="AJ101" s="80">
        <f t="shared" si="22"/>
        <v>0</v>
      </c>
      <c r="AK101" s="80">
        <f t="shared" ref="AK101:BA101" si="192">T101+AK100</f>
        <v>39</v>
      </c>
      <c r="AL101" s="81">
        <f t="shared" si="192"/>
        <v>46</v>
      </c>
      <c r="AM101" s="81">
        <f t="shared" si="192"/>
        <v>0</v>
      </c>
      <c r="AN101" s="81">
        <f t="shared" si="192"/>
        <v>0</v>
      </c>
      <c r="AO101" s="81">
        <f t="shared" si="192"/>
        <v>0</v>
      </c>
      <c r="AP101" s="81">
        <f t="shared" si="192"/>
        <v>0</v>
      </c>
      <c r="AQ101" s="81">
        <f t="shared" si="192"/>
        <v>0</v>
      </c>
      <c r="AR101" s="81">
        <f t="shared" si="192"/>
        <v>0</v>
      </c>
      <c r="AS101" s="81">
        <f t="shared" si="192"/>
        <v>0</v>
      </c>
      <c r="AT101" s="81">
        <f t="shared" si="192"/>
        <v>0</v>
      </c>
      <c r="AU101" s="81">
        <f t="shared" si="192"/>
        <v>0</v>
      </c>
      <c r="AV101" s="81">
        <f t="shared" si="192"/>
        <v>0</v>
      </c>
      <c r="AW101" s="81">
        <f t="shared" si="192"/>
        <v>0</v>
      </c>
      <c r="AX101" s="81">
        <f t="shared" si="192"/>
        <v>0</v>
      </c>
      <c r="AY101" s="81">
        <f t="shared" si="192"/>
        <v>0</v>
      </c>
      <c r="AZ101" s="81">
        <f t="shared" si="192"/>
        <v>0</v>
      </c>
      <c r="BA101" s="82">
        <f t="shared" si="192"/>
        <v>0</v>
      </c>
      <c r="BB101" s="39" t="str">
        <f t="shared" si="24"/>
        <v>Liste 2</v>
      </c>
      <c r="BC101" s="39"/>
      <c r="BD101" s="39"/>
      <c r="BE101" s="39"/>
      <c r="BF101" s="39"/>
      <c r="BG101" s="39"/>
      <c r="BH101" s="39"/>
      <c r="BI101" s="39"/>
      <c r="BJ101" s="39"/>
      <c r="BK101" s="39"/>
      <c r="BL101" s="39"/>
      <c r="BM101" s="39"/>
    </row>
    <row r="102" spans="1:65" ht="16" x14ac:dyDescent="0.2">
      <c r="A102" s="77">
        <v>86</v>
      </c>
      <c r="B102" s="78">
        <f t="shared" ref="B102:R102" si="193">B$12/(AK101+1)</f>
        <v>0.47499999999999998</v>
      </c>
      <c r="C102" s="78">
        <f t="shared" si="193"/>
        <v>0.46808510638297873</v>
      </c>
      <c r="D102" s="78">
        <f t="shared" si="193"/>
        <v>0</v>
      </c>
      <c r="E102" s="78">
        <f t="shared" si="193"/>
        <v>0</v>
      </c>
      <c r="F102" s="78">
        <f t="shared" si="193"/>
        <v>0</v>
      </c>
      <c r="G102" s="78">
        <f t="shared" si="193"/>
        <v>0</v>
      </c>
      <c r="H102" s="78">
        <f t="shared" si="193"/>
        <v>0</v>
      </c>
      <c r="I102" s="78">
        <f t="shared" si="193"/>
        <v>0</v>
      </c>
      <c r="J102" s="78">
        <f t="shared" si="193"/>
        <v>0</v>
      </c>
      <c r="K102" s="78">
        <f t="shared" si="193"/>
        <v>0</v>
      </c>
      <c r="L102" s="78">
        <f t="shared" si="193"/>
        <v>0</v>
      </c>
      <c r="M102" s="78">
        <f t="shared" si="193"/>
        <v>0</v>
      </c>
      <c r="N102" s="78">
        <f t="shared" si="193"/>
        <v>0</v>
      </c>
      <c r="O102" s="78">
        <f t="shared" si="193"/>
        <v>0</v>
      </c>
      <c r="P102" s="78">
        <f t="shared" si="193"/>
        <v>0</v>
      </c>
      <c r="Q102" s="78">
        <f t="shared" si="193"/>
        <v>0</v>
      </c>
      <c r="R102" s="79">
        <f t="shared" si="193"/>
        <v>0</v>
      </c>
      <c r="S102" s="79">
        <f t="shared" si="5"/>
        <v>0.47499999999999998</v>
      </c>
      <c r="T102" s="80">
        <f t="shared" si="6"/>
        <v>1</v>
      </c>
      <c r="U102" s="80">
        <f t="shared" si="7"/>
        <v>0</v>
      </c>
      <c r="V102" s="80">
        <f t="shared" si="8"/>
        <v>0</v>
      </c>
      <c r="W102" s="80">
        <f t="shared" si="9"/>
        <v>0</v>
      </c>
      <c r="X102" s="80">
        <f t="shared" si="10"/>
        <v>0</v>
      </c>
      <c r="Y102" s="80">
        <f t="shared" si="11"/>
        <v>0</v>
      </c>
      <c r="Z102" s="80">
        <f t="shared" si="12"/>
        <v>0</v>
      </c>
      <c r="AA102" s="80">
        <f t="shared" si="13"/>
        <v>0</v>
      </c>
      <c r="AB102" s="80">
        <f t="shared" si="14"/>
        <v>0</v>
      </c>
      <c r="AC102" s="80">
        <f t="shared" si="15"/>
        <v>0</v>
      </c>
      <c r="AD102" s="80">
        <f t="shared" si="16"/>
        <v>0</v>
      </c>
      <c r="AE102" s="80">
        <f t="shared" si="17"/>
        <v>0</v>
      </c>
      <c r="AF102" s="80">
        <f t="shared" si="18"/>
        <v>0</v>
      </c>
      <c r="AG102" s="80">
        <f t="shared" si="19"/>
        <v>0</v>
      </c>
      <c r="AH102" s="80">
        <f t="shared" si="20"/>
        <v>0</v>
      </c>
      <c r="AI102" s="80">
        <f t="shared" si="21"/>
        <v>0</v>
      </c>
      <c r="AJ102" s="80">
        <f t="shared" si="22"/>
        <v>0</v>
      </c>
      <c r="AK102" s="80">
        <f t="shared" ref="AK102:BA102" si="194">T102+AK101</f>
        <v>40</v>
      </c>
      <c r="AL102" s="81">
        <f t="shared" si="194"/>
        <v>46</v>
      </c>
      <c r="AM102" s="81">
        <f t="shared" si="194"/>
        <v>0</v>
      </c>
      <c r="AN102" s="81">
        <f t="shared" si="194"/>
        <v>0</v>
      </c>
      <c r="AO102" s="81">
        <f t="shared" si="194"/>
        <v>0</v>
      </c>
      <c r="AP102" s="81">
        <f t="shared" si="194"/>
        <v>0</v>
      </c>
      <c r="AQ102" s="81">
        <f t="shared" si="194"/>
        <v>0</v>
      </c>
      <c r="AR102" s="81">
        <f t="shared" si="194"/>
        <v>0</v>
      </c>
      <c r="AS102" s="81">
        <f t="shared" si="194"/>
        <v>0</v>
      </c>
      <c r="AT102" s="81">
        <f t="shared" si="194"/>
        <v>0</v>
      </c>
      <c r="AU102" s="81">
        <f t="shared" si="194"/>
        <v>0</v>
      </c>
      <c r="AV102" s="81">
        <f t="shared" si="194"/>
        <v>0</v>
      </c>
      <c r="AW102" s="81">
        <f t="shared" si="194"/>
        <v>0</v>
      </c>
      <c r="AX102" s="81">
        <f t="shared" si="194"/>
        <v>0</v>
      </c>
      <c r="AY102" s="81">
        <f t="shared" si="194"/>
        <v>0</v>
      </c>
      <c r="AZ102" s="81">
        <f t="shared" si="194"/>
        <v>0</v>
      </c>
      <c r="BA102" s="82">
        <f t="shared" si="194"/>
        <v>0</v>
      </c>
      <c r="BB102" s="39" t="str">
        <f t="shared" si="24"/>
        <v>Liste 1</v>
      </c>
      <c r="BC102" s="39"/>
      <c r="BD102" s="39"/>
      <c r="BE102" s="39"/>
      <c r="BF102" s="39"/>
      <c r="BG102" s="39"/>
      <c r="BH102" s="39"/>
      <c r="BI102" s="39"/>
      <c r="BJ102" s="39"/>
      <c r="BK102" s="39"/>
      <c r="BL102" s="39"/>
      <c r="BM102" s="39"/>
    </row>
    <row r="103" spans="1:65" ht="16" x14ac:dyDescent="0.2">
      <c r="A103" s="77">
        <v>87</v>
      </c>
      <c r="B103" s="78">
        <f t="shared" ref="B103:R103" si="195">B$12/(AK102+1)</f>
        <v>0.46341463414634149</v>
      </c>
      <c r="C103" s="78">
        <f t="shared" si="195"/>
        <v>0.46808510638297873</v>
      </c>
      <c r="D103" s="78">
        <f t="shared" si="195"/>
        <v>0</v>
      </c>
      <c r="E103" s="78">
        <f t="shared" si="195"/>
        <v>0</v>
      </c>
      <c r="F103" s="78">
        <f t="shared" si="195"/>
        <v>0</v>
      </c>
      <c r="G103" s="78">
        <f t="shared" si="195"/>
        <v>0</v>
      </c>
      <c r="H103" s="78">
        <f t="shared" si="195"/>
        <v>0</v>
      </c>
      <c r="I103" s="78">
        <f t="shared" si="195"/>
        <v>0</v>
      </c>
      <c r="J103" s="78">
        <f t="shared" si="195"/>
        <v>0</v>
      </c>
      <c r="K103" s="78">
        <f t="shared" si="195"/>
        <v>0</v>
      </c>
      <c r="L103" s="78">
        <f t="shared" si="195"/>
        <v>0</v>
      </c>
      <c r="M103" s="78">
        <f t="shared" si="195"/>
        <v>0</v>
      </c>
      <c r="N103" s="78">
        <f t="shared" si="195"/>
        <v>0</v>
      </c>
      <c r="O103" s="78">
        <f t="shared" si="195"/>
        <v>0</v>
      </c>
      <c r="P103" s="78">
        <f t="shared" si="195"/>
        <v>0</v>
      </c>
      <c r="Q103" s="78">
        <f t="shared" si="195"/>
        <v>0</v>
      </c>
      <c r="R103" s="79">
        <f t="shared" si="195"/>
        <v>0</v>
      </c>
      <c r="S103" s="79">
        <f t="shared" si="5"/>
        <v>0.46808510638297873</v>
      </c>
      <c r="T103" s="80">
        <f t="shared" si="6"/>
        <v>0</v>
      </c>
      <c r="U103" s="80">
        <f t="shared" si="7"/>
        <v>1</v>
      </c>
      <c r="V103" s="80">
        <f t="shared" si="8"/>
        <v>0</v>
      </c>
      <c r="W103" s="80">
        <f t="shared" si="9"/>
        <v>0</v>
      </c>
      <c r="X103" s="80">
        <f t="shared" si="10"/>
        <v>0</v>
      </c>
      <c r="Y103" s="80">
        <f t="shared" si="11"/>
        <v>0</v>
      </c>
      <c r="Z103" s="80">
        <f t="shared" si="12"/>
        <v>0</v>
      </c>
      <c r="AA103" s="80">
        <f t="shared" si="13"/>
        <v>0</v>
      </c>
      <c r="AB103" s="80">
        <f t="shared" si="14"/>
        <v>0</v>
      </c>
      <c r="AC103" s="80">
        <f t="shared" si="15"/>
        <v>0</v>
      </c>
      <c r="AD103" s="80">
        <f t="shared" si="16"/>
        <v>0</v>
      </c>
      <c r="AE103" s="80">
        <f t="shared" si="17"/>
        <v>0</v>
      </c>
      <c r="AF103" s="80">
        <f t="shared" si="18"/>
        <v>0</v>
      </c>
      <c r="AG103" s="80">
        <f t="shared" si="19"/>
        <v>0</v>
      </c>
      <c r="AH103" s="80">
        <f t="shared" si="20"/>
        <v>0</v>
      </c>
      <c r="AI103" s="80">
        <f t="shared" si="21"/>
        <v>0</v>
      </c>
      <c r="AJ103" s="80">
        <f t="shared" si="22"/>
        <v>0</v>
      </c>
      <c r="AK103" s="80">
        <f t="shared" ref="AK103:BA103" si="196">T103+AK102</f>
        <v>40</v>
      </c>
      <c r="AL103" s="81">
        <f t="shared" si="196"/>
        <v>47</v>
      </c>
      <c r="AM103" s="81">
        <f t="shared" si="196"/>
        <v>0</v>
      </c>
      <c r="AN103" s="81">
        <f t="shared" si="196"/>
        <v>0</v>
      </c>
      <c r="AO103" s="81">
        <f t="shared" si="196"/>
        <v>0</v>
      </c>
      <c r="AP103" s="81">
        <f t="shared" si="196"/>
        <v>0</v>
      </c>
      <c r="AQ103" s="81">
        <f t="shared" si="196"/>
        <v>0</v>
      </c>
      <c r="AR103" s="81">
        <f t="shared" si="196"/>
        <v>0</v>
      </c>
      <c r="AS103" s="81">
        <f t="shared" si="196"/>
        <v>0</v>
      </c>
      <c r="AT103" s="81">
        <f t="shared" si="196"/>
        <v>0</v>
      </c>
      <c r="AU103" s="81">
        <f t="shared" si="196"/>
        <v>0</v>
      </c>
      <c r="AV103" s="81">
        <f t="shared" si="196"/>
        <v>0</v>
      </c>
      <c r="AW103" s="81">
        <f t="shared" si="196"/>
        <v>0</v>
      </c>
      <c r="AX103" s="81">
        <f t="shared" si="196"/>
        <v>0</v>
      </c>
      <c r="AY103" s="81">
        <f t="shared" si="196"/>
        <v>0</v>
      </c>
      <c r="AZ103" s="81">
        <f t="shared" si="196"/>
        <v>0</v>
      </c>
      <c r="BA103" s="82">
        <f t="shared" si="196"/>
        <v>0</v>
      </c>
      <c r="BB103" s="39" t="str">
        <f t="shared" si="24"/>
        <v>Liste 2</v>
      </c>
      <c r="BC103" s="39"/>
      <c r="BD103" s="39"/>
      <c r="BE103" s="39"/>
      <c r="BF103" s="39"/>
      <c r="BG103" s="39"/>
      <c r="BH103" s="39"/>
      <c r="BI103" s="39"/>
      <c r="BJ103" s="39"/>
      <c r="BK103" s="39"/>
      <c r="BL103" s="39"/>
      <c r="BM103" s="39"/>
    </row>
    <row r="104" spans="1:65" ht="16" x14ac:dyDescent="0.2">
      <c r="A104" s="77">
        <v>88</v>
      </c>
      <c r="B104" s="78">
        <f t="shared" ref="B104:R104" si="197">B$12/(AK103+1)</f>
        <v>0.46341463414634149</v>
      </c>
      <c r="C104" s="78">
        <f t="shared" si="197"/>
        <v>0.45833333333333331</v>
      </c>
      <c r="D104" s="78">
        <f t="shared" si="197"/>
        <v>0</v>
      </c>
      <c r="E104" s="78">
        <f t="shared" si="197"/>
        <v>0</v>
      </c>
      <c r="F104" s="78">
        <f t="shared" si="197"/>
        <v>0</v>
      </c>
      <c r="G104" s="78">
        <f t="shared" si="197"/>
        <v>0</v>
      </c>
      <c r="H104" s="78">
        <f t="shared" si="197"/>
        <v>0</v>
      </c>
      <c r="I104" s="78">
        <f t="shared" si="197"/>
        <v>0</v>
      </c>
      <c r="J104" s="78">
        <f t="shared" si="197"/>
        <v>0</v>
      </c>
      <c r="K104" s="78">
        <f t="shared" si="197"/>
        <v>0</v>
      </c>
      <c r="L104" s="78">
        <f t="shared" si="197"/>
        <v>0</v>
      </c>
      <c r="M104" s="78">
        <f t="shared" si="197"/>
        <v>0</v>
      </c>
      <c r="N104" s="78">
        <f t="shared" si="197"/>
        <v>0</v>
      </c>
      <c r="O104" s="78">
        <f t="shared" si="197"/>
        <v>0</v>
      </c>
      <c r="P104" s="78">
        <f t="shared" si="197"/>
        <v>0</v>
      </c>
      <c r="Q104" s="78">
        <f t="shared" si="197"/>
        <v>0</v>
      </c>
      <c r="R104" s="79">
        <f t="shared" si="197"/>
        <v>0</v>
      </c>
      <c r="S104" s="79">
        <f t="shared" si="5"/>
        <v>0.46341463414634149</v>
      </c>
      <c r="T104" s="80">
        <f t="shared" si="6"/>
        <v>1</v>
      </c>
      <c r="U104" s="80">
        <f t="shared" si="7"/>
        <v>0</v>
      </c>
      <c r="V104" s="80">
        <f t="shared" si="8"/>
        <v>0</v>
      </c>
      <c r="W104" s="80">
        <f t="shared" si="9"/>
        <v>0</v>
      </c>
      <c r="X104" s="80">
        <f t="shared" si="10"/>
        <v>0</v>
      </c>
      <c r="Y104" s="80">
        <f t="shared" si="11"/>
        <v>0</v>
      </c>
      <c r="Z104" s="80">
        <f t="shared" si="12"/>
        <v>0</v>
      </c>
      <c r="AA104" s="80">
        <f t="shared" si="13"/>
        <v>0</v>
      </c>
      <c r="AB104" s="80">
        <f t="shared" si="14"/>
        <v>0</v>
      </c>
      <c r="AC104" s="80">
        <f t="shared" si="15"/>
        <v>0</v>
      </c>
      <c r="AD104" s="80">
        <f t="shared" si="16"/>
        <v>0</v>
      </c>
      <c r="AE104" s="80">
        <f t="shared" si="17"/>
        <v>0</v>
      </c>
      <c r="AF104" s="80">
        <f t="shared" si="18"/>
        <v>0</v>
      </c>
      <c r="AG104" s="80">
        <f t="shared" si="19"/>
        <v>0</v>
      </c>
      <c r="AH104" s="80">
        <f t="shared" si="20"/>
        <v>0</v>
      </c>
      <c r="AI104" s="80">
        <f t="shared" si="21"/>
        <v>0</v>
      </c>
      <c r="AJ104" s="80">
        <f t="shared" si="22"/>
        <v>0</v>
      </c>
      <c r="AK104" s="80">
        <f t="shared" ref="AK104:BA104" si="198">T104+AK103</f>
        <v>41</v>
      </c>
      <c r="AL104" s="81">
        <f t="shared" si="198"/>
        <v>47</v>
      </c>
      <c r="AM104" s="81">
        <f t="shared" si="198"/>
        <v>0</v>
      </c>
      <c r="AN104" s="81">
        <f t="shared" si="198"/>
        <v>0</v>
      </c>
      <c r="AO104" s="81">
        <f t="shared" si="198"/>
        <v>0</v>
      </c>
      <c r="AP104" s="81">
        <f t="shared" si="198"/>
        <v>0</v>
      </c>
      <c r="AQ104" s="81">
        <f t="shared" si="198"/>
        <v>0</v>
      </c>
      <c r="AR104" s="81">
        <f t="shared" si="198"/>
        <v>0</v>
      </c>
      <c r="AS104" s="81">
        <f t="shared" si="198"/>
        <v>0</v>
      </c>
      <c r="AT104" s="81">
        <f t="shared" si="198"/>
        <v>0</v>
      </c>
      <c r="AU104" s="81">
        <f t="shared" si="198"/>
        <v>0</v>
      </c>
      <c r="AV104" s="81">
        <f t="shared" si="198"/>
        <v>0</v>
      </c>
      <c r="AW104" s="81">
        <f t="shared" si="198"/>
        <v>0</v>
      </c>
      <c r="AX104" s="81">
        <f t="shared" si="198"/>
        <v>0</v>
      </c>
      <c r="AY104" s="81">
        <f t="shared" si="198"/>
        <v>0</v>
      </c>
      <c r="AZ104" s="81">
        <f t="shared" si="198"/>
        <v>0</v>
      </c>
      <c r="BA104" s="82">
        <f t="shared" si="198"/>
        <v>0</v>
      </c>
      <c r="BB104" s="39" t="str">
        <f t="shared" si="24"/>
        <v>Liste 1</v>
      </c>
      <c r="BC104" s="39"/>
      <c r="BD104" s="39"/>
      <c r="BE104" s="39"/>
      <c r="BF104" s="39"/>
      <c r="BG104" s="39"/>
      <c r="BH104" s="39"/>
      <c r="BI104" s="39"/>
      <c r="BJ104" s="39"/>
      <c r="BK104" s="39"/>
      <c r="BL104" s="39"/>
      <c r="BM104" s="39"/>
    </row>
    <row r="105" spans="1:65" ht="16" x14ac:dyDescent="0.2">
      <c r="A105" s="77">
        <v>89</v>
      </c>
      <c r="B105" s="78">
        <f t="shared" ref="B105:R105" si="199">B$12/(AK104+1)</f>
        <v>0.45238095238095238</v>
      </c>
      <c r="C105" s="78">
        <f t="shared" si="199"/>
        <v>0.45833333333333331</v>
      </c>
      <c r="D105" s="78">
        <f t="shared" si="199"/>
        <v>0</v>
      </c>
      <c r="E105" s="78">
        <f t="shared" si="199"/>
        <v>0</v>
      </c>
      <c r="F105" s="78">
        <f t="shared" si="199"/>
        <v>0</v>
      </c>
      <c r="G105" s="78">
        <f t="shared" si="199"/>
        <v>0</v>
      </c>
      <c r="H105" s="78">
        <f t="shared" si="199"/>
        <v>0</v>
      </c>
      <c r="I105" s="78">
        <f t="shared" si="199"/>
        <v>0</v>
      </c>
      <c r="J105" s="78">
        <f t="shared" si="199"/>
        <v>0</v>
      </c>
      <c r="K105" s="78">
        <f t="shared" si="199"/>
        <v>0</v>
      </c>
      <c r="L105" s="78">
        <f t="shared" si="199"/>
        <v>0</v>
      </c>
      <c r="M105" s="78">
        <f t="shared" si="199"/>
        <v>0</v>
      </c>
      <c r="N105" s="78">
        <f t="shared" si="199"/>
        <v>0</v>
      </c>
      <c r="O105" s="78">
        <f t="shared" si="199"/>
        <v>0</v>
      </c>
      <c r="P105" s="78">
        <f t="shared" si="199"/>
        <v>0</v>
      </c>
      <c r="Q105" s="78">
        <f t="shared" si="199"/>
        <v>0</v>
      </c>
      <c r="R105" s="79">
        <f t="shared" si="199"/>
        <v>0</v>
      </c>
      <c r="S105" s="79">
        <f t="shared" si="5"/>
        <v>0.45833333333333331</v>
      </c>
      <c r="T105" s="80">
        <f t="shared" si="6"/>
        <v>0</v>
      </c>
      <c r="U105" s="80">
        <f t="shared" si="7"/>
        <v>1</v>
      </c>
      <c r="V105" s="80">
        <f t="shared" si="8"/>
        <v>0</v>
      </c>
      <c r="W105" s="80">
        <f t="shared" si="9"/>
        <v>0</v>
      </c>
      <c r="X105" s="80">
        <f t="shared" si="10"/>
        <v>0</v>
      </c>
      <c r="Y105" s="80">
        <f t="shared" si="11"/>
        <v>0</v>
      </c>
      <c r="Z105" s="80">
        <f t="shared" si="12"/>
        <v>0</v>
      </c>
      <c r="AA105" s="80">
        <f t="shared" si="13"/>
        <v>0</v>
      </c>
      <c r="AB105" s="80">
        <f t="shared" si="14"/>
        <v>0</v>
      </c>
      <c r="AC105" s="80">
        <f t="shared" si="15"/>
        <v>0</v>
      </c>
      <c r="AD105" s="80">
        <f t="shared" si="16"/>
        <v>0</v>
      </c>
      <c r="AE105" s="80">
        <f t="shared" si="17"/>
        <v>0</v>
      </c>
      <c r="AF105" s="80">
        <f t="shared" si="18"/>
        <v>0</v>
      </c>
      <c r="AG105" s="80">
        <f t="shared" si="19"/>
        <v>0</v>
      </c>
      <c r="AH105" s="80">
        <f t="shared" si="20"/>
        <v>0</v>
      </c>
      <c r="AI105" s="80">
        <f t="shared" si="21"/>
        <v>0</v>
      </c>
      <c r="AJ105" s="80">
        <f t="shared" si="22"/>
        <v>0</v>
      </c>
      <c r="AK105" s="80">
        <f t="shared" ref="AK105:BA105" si="200">T105+AK104</f>
        <v>41</v>
      </c>
      <c r="AL105" s="81">
        <f t="shared" si="200"/>
        <v>48</v>
      </c>
      <c r="AM105" s="81">
        <f t="shared" si="200"/>
        <v>0</v>
      </c>
      <c r="AN105" s="81">
        <f t="shared" si="200"/>
        <v>0</v>
      </c>
      <c r="AO105" s="81">
        <f t="shared" si="200"/>
        <v>0</v>
      </c>
      <c r="AP105" s="81">
        <f t="shared" si="200"/>
        <v>0</v>
      </c>
      <c r="AQ105" s="81">
        <f t="shared" si="200"/>
        <v>0</v>
      </c>
      <c r="AR105" s="81">
        <f t="shared" si="200"/>
        <v>0</v>
      </c>
      <c r="AS105" s="81">
        <f t="shared" si="200"/>
        <v>0</v>
      </c>
      <c r="AT105" s="81">
        <f t="shared" si="200"/>
        <v>0</v>
      </c>
      <c r="AU105" s="81">
        <f t="shared" si="200"/>
        <v>0</v>
      </c>
      <c r="AV105" s="81">
        <f t="shared" si="200"/>
        <v>0</v>
      </c>
      <c r="AW105" s="81">
        <f t="shared" si="200"/>
        <v>0</v>
      </c>
      <c r="AX105" s="81">
        <f t="shared" si="200"/>
        <v>0</v>
      </c>
      <c r="AY105" s="81">
        <f t="shared" si="200"/>
        <v>0</v>
      </c>
      <c r="AZ105" s="81">
        <f t="shared" si="200"/>
        <v>0</v>
      </c>
      <c r="BA105" s="82">
        <f t="shared" si="200"/>
        <v>0</v>
      </c>
      <c r="BB105" s="39" t="str">
        <f t="shared" si="24"/>
        <v>Liste 2</v>
      </c>
      <c r="BC105" s="39"/>
      <c r="BD105" s="39"/>
      <c r="BE105" s="39"/>
      <c r="BF105" s="39"/>
      <c r="BG105" s="39"/>
      <c r="BH105" s="39"/>
      <c r="BI105" s="39"/>
      <c r="BJ105" s="39"/>
      <c r="BK105" s="39"/>
      <c r="BL105" s="39"/>
      <c r="BM105" s="39"/>
    </row>
    <row r="106" spans="1:65" ht="16" x14ac:dyDescent="0.2">
      <c r="A106" s="77">
        <v>90</v>
      </c>
      <c r="B106" s="78">
        <f t="shared" ref="B106:R106" si="201">B$12/(AK105+1)</f>
        <v>0.45238095238095238</v>
      </c>
      <c r="C106" s="78">
        <f t="shared" si="201"/>
        <v>0.44897959183673469</v>
      </c>
      <c r="D106" s="78">
        <f t="shared" si="201"/>
        <v>0</v>
      </c>
      <c r="E106" s="78">
        <f t="shared" si="201"/>
        <v>0</v>
      </c>
      <c r="F106" s="78">
        <f t="shared" si="201"/>
        <v>0</v>
      </c>
      <c r="G106" s="78">
        <f t="shared" si="201"/>
        <v>0</v>
      </c>
      <c r="H106" s="78">
        <f t="shared" si="201"/>
        <v>0</v>
      </c>
      <c r="I106" s="78">
        <f t="shared" si="201"/>
        <v>0</v>
      </c>
      <c r="J106" s="78">
        <f t="shared" si="201"/>
        <v>0</v>
      </c>
      <c r="K106" s="78">
        <f t="shared" si="201"/>
        <v>0</v>
      </c>
      <c r="L106" s="78">
        <f t="shared" si="201"/>
        <v>0</v>
      </c>
      <c r="M106" s="78">
        <f t="shared" si="201"/>
        <v>0</v>
      </c>
      <c r="N106" s="78">
        <f t="shared" si="201"/>
        <v>0</v>
      </c>
      <c r="O106" s="78">
        <f t="shared" si="201"/>
        <v>0</v>
      </c>
      <c r="P106" s="78">
        <f t="shared" si="201"/>
        <v>0</v>
      </c>
      <c r="Q106" s="78">
        <f t="shared" si="201"/>
        <v>0</v>
      </c>
      <c r="R106" s="79">
        <f t="shared" si="201"/>
        <v>0</v>
      </c>
      <c r="S106" s="79">
        <f t="shared" si="5"/>
        <v>0.45238095238095238</v>
      </c>
      <c r="T106" s="80">
        <f t="shared" si="6"/>
        <v>1</v>
      </c>
      <c r="U106" s="80">
        <f t="shared" si="7"/>
        <v>0</v>
      </c>
      <c r="V106" s="80">
        <f t="shared" si="8"/>
        <v>0</v>
      </c>
      <c r="W106" s="80">
        <f t="shared" si="9"/>
        <v>0</v>
      </c>
      <c r="X106" s="80">
        <f t="shared" si="10"/>
        <v>0</v>
      </c>
      <c r="Y106" s="80">
        <f t="shared" si="11"/>
        <v>0</v>
      </c>
      <c r="Z106" s="80">
        <f t="shared" si="12"/>
        <v>0</v>
      </c>
      <c r="AA106" s="80">
        <f t="shared" si="13"/>
        <v>0</v>
      </c>
      <c r="AB106" s="80">
        <f t="shared" si="14"/>
        <v>0</v>
      </c>
      <c r="AC106" s="80">
        <f t="shared" si="15"/>
        <v>0</v>
      </c>
      <c r="AD106" s="80">
        <f t="shared" si="16"/>
        <v>0</v>
      </c>
      <c r="AE106" s="80">
        <f t="shared" si="17"/>
        <v>0</v>
      </c>
      <c r="AF106" s="80">
        <f t="shared" si="18"/>
        <v>0</v>
      </c>
      <c r="AG106" s="80">
        <f t="shared" si="19"/>
        <v>0</v>
      </c>
      <c r="AH106" s="80">
        <f t="shared" si="20"/>
        <v>0</v>
      </c>
      <c r="AI106" s="80">
        <f t="shared" si="21"/>
        <v>0</v>
      </c>
      <c r="AJ106" s="80">
        <f t="shared" si="22"/>
        <v>0</v>
      </c>
      <c r="AK106" s="80">
        <f t="shared" ref="AK106:BA106" si="202">T106+AK105</f>
        <v>42</v>
      </c>
      <c r="AL106" s="81">
        <f t="shared" si="202"/>
        <v>48</v>
      </c>
      <c r="AM106" s="81">
        <f t="shared" si="202"/>
        <v>0</v>
      </c>
      <c r="AN106" s="81">
        <f t="shared" si="202"/>
        <v>0</v>
      </c>
      <c r="AO106" s="81">
        <f t="shared" si="202"/>
        <v>0</v>
      </c>
      <c r="AP106" s="81">
        <f t="shared" si="202"/>
        <v>0</v>
      </c>
      <c r="AQ106" s="81">
        <f t="shared" si="202"/>
        <v>0</v>
      </c>
      <c r="AR106" s="81">
        <f t="shared" si="202"/>
        <v>0</v>
      </c>
      <c r="AS106" s="81">
        <f t="shared" si="202"/>
        <v>0</v>
      </c>
      <c r="AT106" s="81">
        <f t="shared" si="202"/>
        <v>0</v>
      </c>
      <c r="AU106" s="81">
        <f t="shared" si="202"/>
        <v>0</v>
      </c>
      <c r="AV106" s="81">
        <f t="shared" si="202"/>
        <v>0</v>
      </c>
      <c r="AW106" s="81">
        <f t="shared" si="202"/>
        <v>0</v>
      </c>
      <c r="AX106" s="81">
        <f t="shared" si="202"/>
        <v>0</v>
      </c>
      <c r="AY106" s="81">
        <f t="shared" si="202"/>
        <v>0</v>
      </c>
      <c r="AZ106" s="81">
        <f t="shared" si="202"/>
        <v>0</v>
      </c>
      <c r="BA106" s="82">
        <f t="shared" si="202"/>
        <v>0</v>
      </c>
      <c r="BB106" s="39" t="str">
        <f t="shared" si="24"/>
        <v>Liste 1</v>
      </c>
      <c r="BC106" s="39"/>
      <c r="BD106" s="39"/>
      <c r="BE106" s="39"/>
      <c r="BF106" s="39"/>
      <c r="BG106" s="39"/>
      <c r="BH106" s="39"/>
      <c r="BI106" s="39"/>
      <c r="BJ106" s="39"/>
      <c r="BK106" s="39"/>
      <c r="BL106" s="39"/>
      <c r="BM106" s="39"/>
    </row>
    <row r="107" spans="1:65" ht="16" x14ac:dyDescent="0.2">
      <c r="A107" s="77">
        <v>91</v>
      </c>
      <c r="B107" s="78">
        <f t="shared" ref="B107:R107" si="203">B$12/(AK106+1)</f>
        <v>0.44186046511627908</v>
      </c>
      <c r="C107" s="78">
        <f t="shared" si="203"/>
        <v>0.44897959183673469</v>
      </c>
      <c r="D107" s="78">
        <f t="shared" si="203"/>
        <v>0</v>
      </c>
      <c r="E107" s="78">
        <f t="shared" si="203"/>
        <v>0</v>
      </c>
      <c r="F107" s="78">
        <f t="shared" si="203"/>
        <v>0</v>
      </c>
      <c r="G107" s="78">
        <f t="shared" si="203"/>
        <v>0</v>
      </c>
      <c r="H107" s="78">
        <f t="shared" si="203"/>
        <v>0</v>
      </c>
      <c r="I107" s="78">
        <f t="shared" si="203"/>
        <v>0</v>
      </c>
      <c r="J107" s="78">
        <f t="shared" si="203"/>
        <v>0</v>
      </c>
      <c r="K107" s="78">
        <f t="shared" si="203"/>
        <v>0</v>
      </c>
      <c r="L107" s="78">
        <f t="shared" si="203"/>
        <v>0</v>
      </c>
      <c r="M107" s="78">
        <f t="shared" si="203"/>
        <v>0</v>
      </c>
      <c r="N107" s="78">
        <f t="shared" si="203"/>
        <v>0</v>
      </c>
      <c r="O107" s="78">
        <f t="shared" si="203"/>
        <v>0</v>
      </c>
      <c r="P107" s="78">
        <f t="shared" si="203"/>
        <v>0</v>
      </c>
      <c r="Q107" s="78">
        <f t="shared" si="203"/>
        <v>0</v>
      </c>
      <c r="R107" s="79">
        <f t="shared" si="203"/>
        <v>0</v>
      </c>
      <c r="S107" s="79">
        <f t="shared" si="5"/>
        <v>0.44897959183673469</v>
      </c>
      <c r="T107" s="80">
        <f t="shared" si="6"/>
        <v>0</v>
      </c>
      <c r="U107" s="80">
        <f t="shared" si="7"/>
        <v>1</v>
      </c>
      <c r="V107" s="80">
        <f t="shared" si="8"/>
        <v>0</v>
      </c>
      <c r="W107" s="80">
        <f t="shared" si="9"/>
        <v>0</v>
      </c>
      <c r="X107" s="80">
        <f t="shared" si="10"/>
        <v>0</v>
      </c>
      <c r="Y107" s="80">
        <f t="shared" si="11"/>
        <v>0</v>
      </c>
      <c r="Z107" s="80">
        <f t="shared" si="12"/>
        <v>0</v>
      </c>
      <c r="AA107" s="80">
        <f t="shared" si="13"/>
        <v>0</v>
      </c>
      <c r="AB107" s="80">
        <f t="shared" si="14"/>
        <v>0</v>
      </c>
      <c r="AC107" s="80">
        <f t="shared" si="15"/>
        <v>0</v>
      </c>
      <c r="AD107" s="80">
        <f t="shared" si="16"/>
        <v>0</v>
      </c>
      <c r="AE107" s="80">
        <f t="shared" si="17"/>
        <v>0</v>
      </c>
      <c r="AF107" s="80">
        <f t="shared" si="18"/>
        <v>0</v>
      </c>
      <c r="AG107" s="80">
        <f t="shared" si="19"/>
        <v>0</v>
      </c>
      <c r="AH107" s="80">
        <f t="shared" si="20"/>
        <v>0</v>
      </c>
      <c r="AI107" s="80">
        <f t="shared" si="21"/>
        <v>0</v>
      </c>
      <c r="AJ107" s="80">
        <f t="shared" si="22"/>
        <v>0</v>
      </c>
      <c r="AK107" s="80">
        <f t="shared" ref="AK107:BA107" si="204">T107+AK106</f>
        <v>42</v>
      </c>
      <c r="AL107" s="81">
        <f t="shared" si="204"/>
        <v>49</v>
      </c>
      <c r="AM107" s="81">
        <f t="shared" si="204"/>
        <v>0</v>
      </c>
      <c r="AN107" s="81">
        <f t="shared" si="204"/>
        <v>0</v>
      </c>
      <c r="AO107" s="81">
        <f t="shared" si="204"/>
        <v>0</v>
      </c>
      <c r="AP107" s="81">
        <f t="shared" si="204"/>
        <v>0</v>
      </c>
      <c r="AQ107" s="81">
        <f t="shared" si="204"/>
        <v>0</v>
      </c>
      <c r="AR107" s="81">
        <f t="shared" si="204"/>
        <v>0</v>
      </c>
      <c r="AS107" s="81">
        <f t="shared" si="204"/>
        <v>0</v>
      </c>
      <c r="AT107" s="81">
        <f t="shared" si="204"/>
        <v>0</v>
      </c>
      <c r="AU107" s="81">
        <f t="shared" si="204"/>
        <v>0</v>
      </c>
      <c r="AV107" s="81">
        <f t="shared" si="204"/>
        <v>0</v>
      </c>
      <c r="AW107" s="81">
        <f t="shared" si="204"/>
        <v>0</v>
      </c>
      <c r="AX107" s="81">
        <f t="shared" si="204"/>
        <v>0</v>
      </c>
      <c r="AY107" s="81">
        <f t="shared" si="204"/>
        <v>0</v>
      </c>
      <c r="AZ107" s="81">
        <f t="shared" si="204"/>
        <v>0</v>
      </c>
      <c r="BA107" s="82">
        <f t="shared" si="204"/>
        <v>0</v>
      </c>
      <c r="BB107" s="39" t="str">
        <f t="shared" si="24"/>
        <v>Liste 2</v>
      </c>
      <c r="BC107" s="39"/>
      <c r="BD107" s="39"/>
      <c r="BE107" s="39"/>
      <c r="BF107" s="39"/>
      <c r="BG107" s="39"/>
      <c r="BH107" s="39"/>
      <c r="BI107" s="39"/>
      <c r="BJ107" s="39"/>
      <c r="BK107" s="39"/>
      <c r="BL107" s="39"/>
      <c r="BM107" s="39"/>
    </row>
    <row r="108" spans="1:65" ht="16" x14ac:dyDescent="0.2">
      <c r="A108" s="77">
        <v>92</v>
      </c>
      <c r="B108" s="78">
        <f t="shared" ref="B108:R108" si="205">B$12/(AK107+1)</f>
        <v>0.44186046511627908</v>
      </c>
      <c r="C108" s="78">
        <f t="shared" si="205"/>
        <v>0.44</v>
      </c>
      <c r="D108" s="78">
        <f t="shared" si="205"/>
        <v>0</v>
      </c>
      <c r="E108" s="78">
        <f t="shared" si="205"/>
        <v>0</v>
      </c>
      <c r="F108" s="78">
        <f t="shared" si="205"/>
        <v>0</v>
      </c>
      <c r="G108" s="78">
        <f t="shared" si="205"/>
        <v>0</v>
      </c>
      <c r="H108" s="78">
        <f t="shared" si="205"/>
        <v>0</v>
      </c>
      <c r="I108" s="78">
        <f t="shared" si="205"/>
        <v>0</v>
      </c>
      <c r="J108" s="78">
        <f t="shared" si="205"/>
        <v>0</v>
      </c>
      <c r="K108" s="78">
        <f t="shared" si="205"/>
        <v>0</v>
      </c>
      <c r="L108" s="78">
        <f t="shared" si="205"/>
        <v>0</v>
      </c>
      <c r="M108" s="78">
        <f t="shared" si="205"/>
        <v>0</v>
      </c>
      <c r="N108" s="78">
        <f t="shared" si="205"/>
        <v>0</v>
      </c>
      <c r="O108" s="78">
        <f t="shared" si="205"/>
        <v>0</v>
      </c>
      <c r="P108" s="78">
        <f t="shared" si="205"/>
        <v>0</v>
      </c>
      <c r="Q108" s="78">
        <f t="shared" si="205"/>
        <v>0</v>
      </c>
      <c r="R108" s="79">
        <f t="shared" si="205"/>
        <v>0</v>
      </c>
      <c r="S108" s="79">
        <f t="shared" si="5"/>
        <v>0.44186046511627908</v>
      </c>
      <c r="T108" s="80">
        <f t="shared" si="6"/>
        <v>1</v>
      </c>
      <c r="U108" s="80">
        <f t="shared" si="7"/>
        <v>0</v>
      </c>
      <c r="V108" s="80">
        <f t="shared" si="8"/>
        <v>0</v>
      </c>
      <c r="W108" s="80">
        <f t="shared" si="9"/>
        <v>0</v>
      </c>
      <c r="X108" s="80">
        <f t="shared" si="10"/>
        <v>0</v>
      </c>
      <c r="Y108" s="80">
        <f t="shared" si="11"/>
        <v>0</v>
      </c>
      <c r="Z108" s="80">
        <f t="shared" si="12"/>
        <v>0</v>
      </c>
      <c r="AA108" s="80">
        <f t="shared" si="13"/>
        <v>0</v>
      </c>
      <c r="AB108" s="80">
        <f t="shared" si="14"/>
        <v>0</v>
      </c>
      <c r="AC108" s="80">
        <f t="shared" si="15"/>
        <v>0</v>
      </c>
      <c r="AD108" s="80">
        <f t="shared" si="16"/>
        <v>0</v>
      </c>
      <c r="AE108" s="80">
        <f t="shared" si="17"/>
        <v>0</v>
      </c>
      <c r="AF108" s="80">
        <f t="shared" si="18"/>
        <v>0</v>
      </c>
      <c r="AG108" s="80">
        <f t="shared" si="19"/>
        <v>0</v>
      </c>
      <c r="AH108" s="80">
        <f t="shared" si="20"/>
        <v>0</v>
      </c>
      <c r="AI108" s="80">
        <f t="shared" si="21"/>
        <v>0</v>
      </c>
      <c r="AJ108" s="80">
        <f t="shared" si="22"/>
        <v>0</v>
      </c>
      <c r="AK108" s="80">
        <f t="shared" ref="AK108:BA108" si="206">T108+AK107</f>
        <v>43</v>
      </c>
      <c r="AL108" s="81">
        <f t="shared" si="206"/>
        <v>49</v>
      </c>
      <c r="AM108" s="81">
        <f t="shared" si="206"/>
        <v>0</v>
      </c>
      <c r="AN108" s="81">
        <f t="shared" si="206"/>
        <v>0</v>
      </c>
      <c r="AO108" s="81">
        <f t="shared" si="206"/>
        <v>0</v>
      </c>
      <c r="AP108" s="81">
        <f t="shared" si="206"/>
        <v>0</v>
      </c>
      <c r="AQ108" s="81">
        <f t="shared" si="206"/>
        <v>0</v>
      </c>
      <c r="AR108" s="81">
        <f t="shared" si="206"/>
        <v>0</v>
      </c>
      <c r="AS108" s="81">
        <f t="shared" si="206"/>
        <v>0</v>
      </c>
      <c r="AT108" s="81">
        <f t="shared" si="206"/>
        <v>0</v>
      </c>
      <c r="AU108" s="81">
        <f t="shared" si="206"/>
        <v>0</v>
      </c>
      <c r="AV108" s="81">
        <f t="shared" si="206"/>
        <v>0</v>
      </c>
      <c r="AW108" s="81">
        <f t="shared" si="206"/>
        <v>0</v>
      </c>
      <c r="AX108" s="81">
        <f t="shared" si="206"/>
        <v>0</v>
      </c>
      <c r="AY108" s="81">
        <f t="shared" si="206"/>
        <v>0</v>
      </c>
      <c r="AZ108" s="81">
        <f t="shared" si="206"/>
        <v>0</v>
      </c>
      <c r="BA108" s="82">
        <f t="shared" si="206"/>
        <v>0</v>
      </c>
      <c r="BB108" s="39" t="str">
        <f t="shared" si="24"/>
        <v>Liste 1</v>
      </c>
      <c r="BC108" s="39"/>
      <c r="BD108" s="39"/>
      <c r="BE108" s="39"/>
      <c r="BF108" s="39"/>
      <c r="BG108" s="39"/>
      <c r="BH108" s="39"/>
      <c r="BI108" s="39"/>
      <c r="BJ108" s="39"/>
      <c r="BK108" s="39"/>
      <c r="BL108" s="39"/>
      <c r="BM108" s="39"/>
    </row>
    <row r="109" spans="1:65" ht="16" x14ac:dyDescent="0.2">
      <c r="A109" s="77">
        <v>93</v>
      </c>
      <c r="B109" s="78">
        <f t="shared" ref="B109:R109" si="207">B$12/(AK108+1)</f>
        <v>0.43181818181818182</v>
      </c>
      <c r="C109" s="78">
        <f t="shared" si="207"/>
        <v>0.44</v>
      </c>
      <c r="D109" s="78">
        <f t="shared" si="207"/>
        <v>0</v>
      </c>
      <c r="E109" s="78">
        <f t="shared" si="207"/>
        <v>0</v>
      </c>
      <c r="F109" s="78">
        <f t="shared" si="207"/>
        <v>0</v>
      </c>
      <c r="G109" s="78">
        <f t="shared" si="207"/>
        <v>0</v>
      </c>
      <c r="H109" s="78">
        <f t="shared" si="207"/>
        <v>0</v>
      </c>
      <c r="I109" s="78">
        <f t="shared" si="207"/>
        <v>0</v>
      </c>
      <c r="J109" s="78">
        <f t="shared" si="207"/>
        <v>0</v>
      </c>
      <c r="K109" s="78">
        <f t="shared" si="207"/>
        <v>0</v>
      </c>
      <c r="L109" s="78">
        <f t="shared" si="207"/>
        <v>0</v>
      </c>
      <c r="M109" s="78">
        <f t="shared" si="207"/>
        <v>0</v>
      </c>
      <c r="N109" s="78">
        <f t="shared" si="207"/>
        <v>0</v>
      </c>
      <c r="O109" s="78">
        <f t="shared" si="207"/>
        <v>0</v>
      </c>
      <c r="P109" s="78">
        <f t="shared" si="207"/>
        <v>0</v>
      </c>
      <c r="Q109" s="78">
        <f t="shared" si="207"/>
        <v>0</v>
      </c>
      <c r="R109" s="79">
        <f t="shared" si="207"/>
        <v>0</v>
      </c>
      <c r="S109" s="79">
        <f t="shared" si="5"/>
        <v>0.44</v>
      </c>
      <c r="T109" s="80">
        <f t="shared" si="6"/>
        <v>0</v>
      </c>
      <c r="U109" s="80">
        <f t="shared" si="7"/>
        <v>1</v>
      </c>
      <c r="V109" s="80">
        <f t="shared" si="8"/>
        <v>0</v>
      </c>
      <c r="W109" s="80">
        <f t="shared" si="9"/>
        <v>0</v>
      </c>
      <c r="X109" s="80">
        <f t="shared" si="10"/>
        <v>0</v>
      </c>
      <c r="Y109" s="80">
        <f t="shared" si="11"/>
        <v>0</v>
      </c>
      <c r="Z109" s="80">
        <f t="shared" si="12"/>
        <v>0</v>
      </c>
      <c r="AA109" s="80">
        <f t="shared" si="13"/>
        <v>0</v>
      </c>
      <c r="AB109" s="80">
        <f t="shared" si="14"/>
        <v>0</v>
      </c>
      <c r="AC109" s="80">
        <f t="shared" si="15"/>
        <v>0</v>
      </c>
      <c r="AD109" s="80">
        <f t="shared" si="16"/>
        <v>0</v>
      </c>
      <c r="AE109" s="80">
        <f t="shared" si="17"/>
        <v>0</v>
      </c>
      <c r="AF109" s="80">
        <f t="shared" si="18"/>
        <v>0</v>
      </c>
      <c r="AG109" s="80">
        <f t="shared" si="19"/>
        <v>0</v>
      </c>
      <c r="AH109" s="80">
        <f t="shared" si="20"/>
        <v>0</v>
      </c>
      <c r="AI109" s="80">
        <f t="shared" si="21"/>
        <v>0</v>
      </c>
      <c r="AJ109" s="80">
        <f t="shared" si="22"/>
        <v>0</v>
      </c>
      <c r="AK109" s="80">
        <f t="shared" ref="AK109:BA109" si="208">T109+AK108</f>
        <v>43</v>
      </c>
      <c r="AL109" s="81">
        <f t="shared" si="208"/>
        <v>50</v>
      </c>
      <c r="AM109" s="81">
        <f t="shared" si="208"/>
        <v>0</v>
      </c>
      <c r="AN109" s="81">
        <f t="shared" si="208"/>
        <v>0</v>
      </c>
      <c r="AO109" s="81">
        <f t="shared" si="208"/>
        <v>0</v>
      </c>
      <c r="AP109" s="81">
        <f t="shared" si="208"/>
        <v>0</v>
      </c>
      <c r="AQ109" s="81">
        <f t="shared" si="208"/>
        <v>0</v>
      </c>
      <c r="AR109" s="81">
        <f t="shared" si="208"/>
        <v>0</v>
      </c>
      <c r="AS109" s="81">
        <f t="shared" si="208"/>
        <v>0</v>
      </c>
      <c r="AT109" s="81">
        <f t="shared" si="208"/>
        <v>0</v>
      </c>
      <c r="AU109" s="81">
        <f t="shared" si="208"/>
        <v>0</v>
      </c>
      <c r="AV109" s="81">
        <f t="shared" si="208"/>
        <v>0</v>
      </c>
      <c r="AW109" s="81">
        <f t="shared" si="208"/>
        <v>0</v>
      </c>
      <c r="AX109" s="81">
        <f t="shared" si="208"/>
        <v>0</v>
      </c>
      <c r="AY109" s="81">
        <f t="shared" si="208"/>
        <v>0</v>
      </c>
      <c r="AZ109" s="81">
        <f t="shared" si="208"/>
        <v>0</v>
      </c>
      <c r="BA109" s="82">
        <f t="shared" si="208"/>
        <v>0</v>
      </c>
      <c r="BB109" s="39" t="str">
        <f t="shared" si="24"/>
        <v>Liste 2</v>
      </c>
      <c r="BC109" s="39"/>
      <c r="BD109" s="39"/>
      <c r="BE109" s="39"/>
      <c r="BF109" s="39"/>
      <c r="BG109" s="39"/>
      <c r="BH109" s="39"/>
      <c r="BI109" s="39"/>
      <c r="BJ109" s="39"/>
      <c r="BK109" s="39"/>
      <c r="BL109" s="39"/>
      <c r="BM109" s="39"/>
    </row>
    <row r="110" spans="1:65" ht="16" x14ac:dyDescent="0.2">
      <c r="A110" s="77">
        <v>94</v>
      </c>
      <c r="B110" s="78">
        <f t="shared" ref="B110:R110" si="209">B$12/(AK109+1)</f>
        <v>0.43181818181818182</v>
      </c>
      <c r="C110" s="78">
        <f t="shared" si="209"/>
        <v>0.43137254901960786</v>
      </c>
      <c r="D110" s="78">
        <f t="shared" si="209"/>
        <v>0</v>
      </c>
      <c r="E110" s="78">
        <f t="shared" si="209"/>
        <v>0</v>
      </c>
      <c r="F110" s="78">
        <f t="shared" si="209"/>
        <v>0</v>
      </c>
      <c r="G110" s="78">
        <f t="shared" si="209"/>
        <v>0</v>
      </c>
      <c r="H110" s="78">
        <f t="shared" si="209"/>
        <v>0</v>
      </c>
      <c r="I110" s="78">
        <f t="shared" si="209"/>
        <v>0</v>
      </c>
      <c r="J110" s="78">
        <f t="shared" si="209"/>
        <v>0</v>
      </c>
      <c r="K110" s="78">
        <f t="shared" si="209"/>
        <v>0</v>
      </c>
      <c r="L110" s="78">
        <f t="shared" si="209"/>
        <v>0</v>
      </c>
      <c r="M110" s="78">
        <f t="shared" si="209"/>
        <v>0</v>
      </c>
      <c r="N110" s="78">
        <f t="shared" si="209"/>
        <v>0</v>
      </c>
      <c r="O110" s="78">
        <f t="shared" si="209"/>
        <v>0</v>
      </c>
      <c r="P110" s="78">
        <f t="shared" si="209"/>
        <v>0</v>
      </c>
      <c r="Q110" s="78">
        <f t="shared" si="209"/>
        <v>0</v>
      </c>
      <c r="R110" s="79">
        <f t="shared" si="209"/>
        <v>0</v>
      </c>
      <c r="S110" s="79">
        <f t="shared" si="5"/>
        <v>0.43181818181818182</v>
      </c>
      <c r="T110" s="80">
        <f t="shared" si="6"/>
        <v>1</v>
      </c>
      <c r="U110" s="80">
        <f t="shared" si="7"/>
        <v>0</v>
      </c>
      <c r="V110" s="80">
        <f t="shared" si="8"/>
        <v>0</v>
      </c>
      <c r="W110" s="80">
        <f t="shared" si="9"/>
        <v>0</v>
      </c>
      <c r="X110" s="80">
        <f t="shared" si="10"/>
        <v>0</v>
      </c>
      <c r="Y110" s="80">
        <f t="shared" si="11"/>
        <v>0</v>
      </c>
      <c r="Z110" s="80">
        <f t="shared" si="12"/>
        <v>0</v>
      </c>
      <c r="AA110" s="80">
        <f t="shared" si="13"/>
        <v>0</v>
      </c>
      <c r="AB110" s="80">
        <f t="shared" si="14"/>
        <v>0</v>
      </c>
      <c r="AC110" s="80">
        <f t="shared" si="15"/>
        <v>0</v>
      </c>
      <c r="AD110" s="80">
        <f t="shared" si="16"/>
        <v>0</v>
      </c>
      <c r="AE110" s="80">
        <f t="shared" si="17"/>
        <v>0</v>
      </c>
      <c r="AF110" s="80">
        <f t="shared" si="18"/>
        <v>0</v>
      </c>
      <c r="AG110" s="80">
        <f t="shared" si="19"/>
        <v>0</v>
      </c>
      <c r="AH110" s="80">
        <f t="shared" si="20"/>
        <v>0</v>
      </c>
      <c r="AI110" s="80">
        <f t="shared" si="21"/>
        <v>0</v>
      </c>
      <c r="AJ110" s="80">
        <f t="shared" si="22"/>
        <v>0</v>
      </c>
      <c r="AK110" s="80">
        <f t="shared" ref="AK110:BA110" si="210">T110+AK109</f>
        <v>44</v>
      </c>
      <c r="AL110" s="81">
        <f t="shared" si="210"/>
        <v>50</v>
      </c>
      <c r="AM110" s="81">
        <f t="shared" si="210"/>
        <v>0</v>
      </c>
      <c r="AN110" s="81">
        <f t="shared" si="210"/>
        <v>0</v>
      </c>
      <c r="AO110" s="81">
        <f t="shared" si="210"/>
        <v>0</v>
      </c>
      <c r="AP110" s="81">
        <f t="shared" si="210"/>
        <v>0</v>
      </c>
      <c r="AQ110" s="81">
        <f t="shared" si="210"/>
        <v>0</v>
      </c>
      <c r="AR110" s="81">
        <f t="shared" si="210"/>
        <v>0</v>
      </c>
      <c r="AS110" s="81">
        <f t="shared" si="210"/>
        <v>0</v>
      </c>
      <c r="AT110" s="81">
        <f t="shared" si="210"/>
        <v>0</v>
      </c>
      <c r="AU110" s="81">
        <f t="shared" si="210"/>
        <v>0</v>
      </c>
      <c r="AV110" s="81">
        <f t="shared" si="210"/>
        <v>0</v>
      </c>
      <c r="AW110" s="81">
        <f t="shared" si="210"/>
        <v>0</v>
      </c>
      <c r="AX110" s="81">
        <f t="shared" si="210"/>
        <v>0</v>
      </c>
      <c r="AY110" s="81">
        <f t="shared" si="210"/>
        <v>0</v>
      </c>
      <c r="AZ110" s="81">
        <f t="shared" si="210"/>
        <v>0</v>
      </c>
      <c r="BA110" s="82">
        <f t="shared" si="210"/>
        <v>0</v>
      </c>
      <c r="BB110" s="39" t="str">
        <f t="shared" si="24"/>
        <v>Liste 1</v>
      </c>
      <c r="BC110" s="39"/>
      <c r="BD110" s="39"/>
      <c r="BE110" s="39"/>
      <c r="BF110" s="39"/>
      <c r="BG110" s="39"/>
      <c r="BH110" s="39"/>
      <c r="BI110" s="39"/>
      <c r="BJ110" s="39"/>
      <c r="BK110" s="39"/>
      <c r="BL110" s="39"/>
      <c r="BM110" s="39"/>
    </row>
    <row r="111" spans="1:65" ht="16" x14ac:dyDescent="0.2">
      <c r="A111" s="77">
        <v>95</v>
      </c>
      <c r="B111" s="78">
        <f t="shared" ref="B111:R111" si="211">B$12/(AK110+1)</f>
        <v>0.42222222222222222</v>
      </c>
      <c r="C111" s="78">
        <f t="shared" si="211"/>
        <v>0.43137254901960786</v>
      </c>
      <c r="D111" s="78">
        <f t="shared" si="211"/>
        <v>0</v>
      </c>
      <c r="E111" s="78">
        <f t="shared" si="211"/>
        <v>0</v>
      </c>
      <c r="F111" s="78">
        <f t="shared" si="211"/>
        <v>0</v>
      </c>
      <c r="G111" s="78">
        <f t="shared" si="211"/>
        <v>0</v>
      </c>
      <c r="H111" s="78">
        <f t="shared" si="211"/>
        <v>0</v>
      </c>
      <c r="I111" s="78">
        <f t="shared" si="211"/>
        <v>0</v>
      </c>
      <c r="J111" s="78">
        <f t="shared" si="211"/>
        <v>0</v>
      </c>
      <c r="K111" s="78">
        <f t="shared" si="211"/>
        <v>0</v>
      </c>
      <c r="L111" s="78">
        <f t="shared" si="211"/>
        <v>0</v>
      </c>
      <c r="M111" s="78">
        <f t="shared" si="211"/>
        <v>0</v>
      </c>
      <c r="N111" s="78">
        <f t="shared" si="211"/>
        <v>0</v>
      </c>
      <c r="O111" s="78">
        <f t="shared" si="211"/>
        <v>0</v>
      </c>
      <c r="P111" s="78">
        <f t="shared" si="211"/>
        <v>0</v>
      </c>
      <c r="Q111" s="78">
        <f t="shared" si="211"/>
        <v>0</v>
      </c>
      <c r="R111" s="79">
        <f t="shared" si="211"/>
        <v>0</v>
      </c>
      <c r="S111" s="79">
        <f t="shared" si="5"/>
        <v>0.43137254901960786</v>
      </c>
      <c r="T111" s="80">
        <f t="shared" si="6"/>
        <v>0</v>
      </c>
      <c r="U111" s="80">
        <f t="shared" si="7"/>
        <v>1</v>
      </c>
      <c r="V111" s="80">
        <f t="shared" si="8"/>
        <v>0</v>
      </c>
      <c r="W111" s="80">
        <f t="shared" si="9"/>
        <v>0</v>
      </c>
      <c r="X111" s="80">
        <f t="shared" si="10"/>
        <v>0</v>
      </c>
      <c r="Y111" s="80">
        <f t="shared" si="11"/>
        <v>0</v>
      </c>
      <c r="Z111" s="80">
        <f t="shared" si="12"/>
        <v>0</v>
      </c>
      <c r="AA111" s="80">
        <f t="shared" si="13"/>
        <v>0</v>
      </c>
      <c r="AB111" s="80">
        <f t="shared" si="14"/>
        <v>0</v>
      </c>
      <c r="AC111" s="80">
        <f t="shared" si="15"/>
        <v>0</v>
      </c>
      <c r="AD111" s="80">
        <f t="shared" si="16"/>
        <v>0</v>
      </c>
      <c r="AE111" s="80">
        <f t="shared" si="17"/>
        <v>0</v>
      </c>
      <c r="AF111" s="80">
        <f t="shared" si="18"/>
        <v>0</v>
      </c>
      <c r="AG111" s="80">
        <f t="shared" si="19"/>
        <v>0</v>
      </c>
      <c r="AH111" s="80">
        <f t="shared" si="20"/>
        <v>0</v>
      </c>
      <c r="AI111" s="80">
        <f t="shared" si="21"/>
        <v>0</v>
      </c>
      <c r="AJ111" s="80">
        <f t="shared" si="22"/>
        <v>0</v>
      </c>
      <c r="AK111" s="80">
        <f t="shared" ref="AK111:BA111" si="212">T111+AK110</f>
        <v>44</v>
      </c>
      <c r="AL111" s="81">
        <f t="shared" si="212"/>
        <v>51</v>
      </c>
      <c r="AM111" s="81">
        <f t="shared" si="212"/>
        <v>0</v>
      </c>
      <c r="AN111" s="81">
        <f t="shared" si="212"/>
        <v>0</v>
      </c>
      <c r="AO111" s="81">
        <f t="shared" si="212"/>
        <v>0</v>
      </c>
      <c r="AP111" s="81">
        <f t="shared" si="212"/>
        <v>0</v>
      </c>
      <c r="AQ111" s="81">
        <f t="shared" si="212"/>
        <v>0</v>
      </c>
      <c r="AR111" s="81">
        <f t="shared" si="212"/>
        <v>0</v>
      </c>
      <c r="AS111" s="81">
        <f t="shared" si="212"/>
        <v>0</v>
      </c>
      <c r="AT111" s="81">
        <f t="shared" si="212"/>
        <v>0</v>
      </c>
      <c r="AU111" s="81">
        <f t="shared" si="212"/>
        <v>0</v>
      </c>
      <c r="AV111" s="81">
        <f t="shared" si="212"/>
        <v>0</v>
      </c>
      <c r="AW111" s="81">
        <f t="shared" si="212"/>
        <v>0</v>
      </c>
      <c r="AX111" s="81">
        <f t="shared" si="212"/>
        <v>0</v>
      </c>
      <c r="AY111" s="81">
        <f t="shared" si="212"/>
        <v>0</v>
      </c>
      <c r="AZ111" s="81">
        <f t="shared" si="212"/>
        <v>0</v>
      </c>
      <c r="BA111" s="82">
        <f t="shared" si="212"/>
        <v>0</v>
      </c>
      <c r="BB111" s="39" t="str">
        <f t="shared" si="24"/>
        <v>Liste 2</v>
      </c>
      <c r="BC111" s="39"/>
      <c r="BD111" s="39"/>
      <c r="BE111" s="39"/>
      <c r="BF111" s="39"/>
      <c r="BG111" s="39"/>
      <c r="BH111" s="39"/>
      <c r="BI111" s="39"/>
      <c r="BJ111" s="39"/>
      <c r="BK111" s="39"/>
      <c r="BL111" s="39"/>
      <c r="BM111" s="39"/>
    </row>
    <row r="112" spans="1:65" ht="16" x14ac:dyDescent="0.2">
      <c r="A112" s="77">
        <v>96</v>
      </c>
      <c r="B112" s="78">
        <f t="shared" ref="B112:R112" si="213">B$12/(AK111+1)</f>
        <v>0.42222222222222222</v>
      </c>
      <c r="C112" s="78">
        <f t="shared" si="213"/>
        <v>0.42307692307692307</v>
      </c>
      <c r="D112" s="78">
        <f t="shared" si="213"/>
        <v>0</v>
      </c>
      <c r="E112" s="78">
        <f t="shared" si="213"/>
        <v>0</v>
      </c>
      <c r="F112" s="78">
        <f t="shared" si="213"/>
        <v>0</v>
      </c>
      <c r="G112" s="78">
        <f t="shared" si="213"/>
        <v>0</v>
      </c>
      <c r="H112" s="78">
        <f t="shared" si="213"/>
        <v>0</v>
      </c>
      <c r="I112" s="78">
        <f t="shared" si="213"/>
        <v>0</v>
      </c>
      <c r="J112" s="78">
        <f t="shared" si="213"/>
        <v>0</v>
      </c>
      <c r="K112" s="78">
        <f t="shared" si="213"/>
        <v>0</v>
      </c>
      <c r="L112" s="78">
        <f t="shared" si="213"/>
        <v>0</v>
      </c>
      <c r="M112" s="78">
        <f t="shared" si="213"/>
        <v>0</v>
      </c>
      <c r="N112" s="78">
        <f t="shared" si="213"/>
        <v>0</v>
      </c>
      <c r="O112" s="78">
        <f t="shared" si="213"/>
        <v>0</v>
      </c>
      <c r="P112" s="78">
        <f t="shared" si="213"/>
        <v>0</v>
      </c>
      <c r="Q112" s="78">
        <f t="shared" si="213"/>
        <v>0</v>
      </c>
      <c r="R112" s="79">
        <f t="shared" si="213"/>
        <v>0</v>
      </c>
      <c r="S112" s="79">
        <f t="shared" si="5"/>
        <v>0.42307692307692307</v>
      </c>
      <c r="T112" s="80">
        <f t="shared" si="6"/>
        <v>0</v>
      </c>
      <c r="U112" s="80">
        <f t="shared" si="7"/>
        <v>1</v>
      </c>
      <c r="V112" s="80">
        <f t="shared" si="8"/>
        <v>0</v>
      </c>
      <c r="W112" s="80">
        <f t="shared" si="9"/>
        <v>0</v>
      </c>
      <c r="X112" s="80">
        <f t="shared" si="10"/>
        <v>0</v>
      </c>
      <c r="Y112" s="80">
        <f t="shared" si="11"/>
        <v>0</v>
      </c>
      <c r="Z112" s="80">
        <f t="shared" si="12"/>
        <v>0</v>
      </c>
      <c r="AA112" s="80">
        <f t="shared" si="13"/>
        <v>0</v>
      </c>
      <c r="AB112" s="80">
        <f t="shared" si="14"/>
        <v>0</v>
      </c>
      <c r="AC112" s="80">
        <f t="shared" si="15"/>
        <v>0</v>
      </c>
      <c r="AD112" s="80">
        <f t="shared" si="16"/>
        <v>0</v>
      </c>
      <c r="AE112" s="80">
        <f t="shared" si="17"/>
        <v>0</v>
      </c>
      <c r="AF112" s="80">
        <f t="shared" si="18"/>
        <v>0</v>
      </c>
      <c r="AG112" s="80">
        <f t="shared" si="19"/>
        <v>0</v>
      </c>
      <c r="AH112" s="80">
        <f t="shared" si="20"/>
        <v>0</v>
      </c>
      <c r="AI112" s="80">
        <f t="shared" si="21"/>
        <v>0</v>
      </c>
      <c r="AJ112" s="80">
        <f t="shared" si="22"/>
        <v>0</v>
      </c>
      <c r="AK112" s="80">
        <f t="shared" ref="AK112:BA112" si="214">T112+AK111</f>
        <v>44</v>
      </c>
      <c r="AL112" s="81">
        <f t="shared" si="214"/>
        <v>52</v>
      </c>
      <c r="AM112" s="81">
        <f t="shared" si="214"/>
        <v>0</v>
      </c>
      <c r="AN112" s="81">
        <f t="shared" si="214"/>
        <v>0</v>
      </c>
      <c r="AO112" s="81">
        <f t="shared" si="214"/>
        <v>0</v>
      </c>
      <c r="AP112" s="81">
        <f t="shared" si="214"/>
        <v>0</v>
      </c>
      <c r="AQ112" s="81">
        <f t="shared" si="214"/>
        <v>0</v>
      </c>
      <c r="AR112" s="81">
        <f t="shared" si="214"/>
        <v>0</v>
      </c>
      <c r="AS112" s="81">
        <f t="shared" si="214"/>
        <v>0</v>
      </c>
      <c r="AT112" s="81">
        <f t="shared" si="214"/>
        <v>0</v>
      </c>
      <c r="AU112" s="81">
        <f t="shared" si="214"/>
        <v>0</v>
      </c>
      <c r="AV112" s="81">
        <f t="shared" si="214"/>
        <v>0</v>
      </c>
      <c r="AW112" s="81">
        <f t="shared" si="214"/>
        <v>0</v>
      </c>
      <c r="AX112" s="81">
        <f t="shared" si="214"/>
        <v>0</v>
      </c>
      <c r="AY112" s="81">
        <f t="shared" si="214"/>
        <v>0</v>
      </c>
      <c r="AZ112" s="81">
        <f t="shared" si="214"/>
        <v>0</v>
      </c>
      <c r="BA112" s="82">
        <f t="shared" si="214"/>
        <v>0</v>
      </c>
      <c r="BB112" s="39" t="str">
        <f t="shared" si="24"/>
        <v>Liste 2</v>
      </c>
      <c r="BC112" s="39"/>
      <c r="BD112" s="39"/>
      <c r="BE112" s="39"/>
      <c r="BF112" s="39"/>
      <c r="BG112" s="39"/>
      <c r="BH112" s="39"/>
      <c r="BI112" s="39"/>
      <c r="BJ112" s="39"/>
      <c r="BK112" s="39"/>
      <c r="BL112" s="39"/>
      <c r="BM112" s="39"/>
    </row>
    <row r="113" spans="1:65" ht="16" x14ac:dyDescent="0.2">
      <c r="A113" s="77">
        <v>97</v>
      </c>
      <c r="B113" s="78">
        <f t="shared" ref="B113:R113" si="215">B$12/(AK112+1)</f>
        <v>0.42222222222222222</v>
      </c>
      <c r="C113" s="78">
        <f t="shared" si="215"/>
        <v>0.41509433962264153</v>
      </c>
      <c r="D113" s="78">
        <f t="shared" si="215"/>
        <v>0</v>
      </c>
      <c r="E113" s="78">
        <f t="shared" si="215"/>
        <v>0</v>
      </c>
      <c r="F113" s="78">
        <f t="shared" si="215"/>
        <v>0</v>
      </c>
      <c r="G113" s="78">
        <f t="shared" si="215"/>
        <v>0</v>
      </c>
      <c r="H113" s="78">
        <f t="shared" si="215"/>
        <v>0</v>
      </c>
      <c r="I113" s="78">
        <f t="shared" si="215"/>
        <v>0</v>
      </c>
      <c r="J113" s="78">
        <f t="shared" si="215"/>
        <v>0</v>
      </c>
      <c r="K113" s="78">
        <f t="shared" si="215"/>
        <v>0</v>
      </c>
      <c r="L113" s="78">
        <f t="shared" si="215"/>
        <v>0</v>
      </c>
      <c r="M113" s="78">
        <f t="shared" si="215"/>
        <v>0</v>
      </c>
      <c r="N113" s="78">
        <f t="shared" si="215"/>
        <v>0</v>
      </c>
      <c r="O113" s="78">
        <f t="shared" si="215"/>
        <v>0</v>
      </c>
      <c r="P113" s="78">
        <f t="shared" si="215"/>
        <v>0</v>
      </c>
      <c r="Q113" s="78">
        <f t="shared" si="215"/>
        <v>0</v>
      </c>
      <c r="R113" s="79">
        <f t="shared" si="215"/>
        <v>0</v>
      </c>
      <c r="S113" s="79">
        <f t="shared" si="5"/>
        <v>0.42222222222222222</v>
      </c>
      <c r="T113" s="80">
        <f t="shared" si="6"/>
        <v>1</v>
      </c>
      <c r="U113" s="80">
        <f t="shared" si="7"/>
        <v>0</v>
      </c>
      <c r="V113" s="80">
        <f t="shared" si="8"/>
        <v>0</v>
      </c>
      <c r="W113" s="80">
        <f t="shared" si="9"/>
        <v>0</v>
      </c>
      <c r="X113" s="80">
        <f t="shared" si="10"/>
        <v>0</v>
      </c>
      <c r="Y113" s="80">
        <f t="shared" si="11"/>
        <v>0</v>
      </c>
      <c r="Z113" s="80">
        <f t="shared" si="12"/>
        <v>0</v>
      </c>
      <c r="AA113" s="80">
        <f t="shared" si="13"/>
        <v>0</v>
      </c>
      <c r="AB113" s="80">
        <f t="shared" si="14"/>
        <v>0</v>
      </c>
      <c r="AC113" s="80">
        <f t="shared" si="15"/>
        <v>0</v>
      </c>
      <c r="AD113" s="80">
        <f t="shared" si="16"/>
        <v>0</v>
      </c>
      <c r="AE113" s="80">
        <f t="shared" si="17"/>
        <v>0</v>
      </c>
      <c r="AF113" s="80">
        <f t="shared" si="18"/>
        <v>0</v>
      </c>
      <c r="AG113" s="80">
        <f t="shared" si="19"/>
        <v>0</v>
      </c>
      <c r="AH113" s="80">
        <f t="shared" si="20"/>
        <v>0</v>
      </c>
      <c r="AI113" s="80">
        <f t="shared" si="21"/>
        <v>0</v>
      </c>
      <c r="AJ113" s="80">
        <f t="shared" si="22"/>
        <v>0</v>
      </c>
      <c r="AK113" s="80">
        <f t="shared" ref="AK113:BA113" si="216">T113+AK112</f>
        <v>45</v>
      </c>
      <c r="AL113" s="81">
        <f t="shared" si="216"/>
        <v>52</v>
      </c>
      <c r="AM113" s="81">
        <f t="shared" si="216"/>
        <v>0</v>
      </c>
      <c r="AN113" s="81">
        <f t="shared" si="216"/>
        <v>0</v>
      </c>
      <c r="AO113" s="81">
        <f t="shared" si="216"/>
        <v>0</v>
      </c>
      <c r="AP113" s="81">
        <f t="shared" si="216"/>
        <v>0</v>
      </c>
      <c r="AQ113" s="81">
        <f t="shared" si="216"/>
        <v>0</v>
      </c>
      <c r="AR113" s="81">
        <f t="shared" si="216"/>
        <v>0</v>
      </c>
      <c r="AS113" s="81">
        <f t="shared" si="216"/>
        <v>0</v>
      </c>
      <c r="AT113" s="81">
        <f t="shared" si="216"/>
        <v>0</v>
      </c>
      <c r="AU113" s="81">
        <f t="shared" si="216"/>
        <v>0</v>
      </c>
      <c r="AV113" s="81">
        <f t="shared" si="216"/>
        <v>0</v>
      </c>
      <c r="AW113" s="81">
        <f t="shared" si="216"/>
        <v>0</v>
      </c>
      <c r="AX113" s="81">
        <f t="shared" si="216"/>
        <v>0</v>
      </c>
      <c r="AY113" s="81">
        <f t="shared" si="216"/>
        <v>0</v>
      </c>
      <c r="AZ113" s="81">
        <f t="shared" si="216"/>
        <v>0</v>
      </c>
      <c r="BA113" s="82">
        <f t="shared" si="216"/>
        <v>0</v>
      </c>
      <c r="BB113" s="39" t="str">
        <f t="shared" si="24"/>
        <v>Liste 1</v>
      </c>
      <c r="BC113" s="39"/>
      <c r="BD113" s="39"/>
      <c r="BE113" s="39"/>
      <c r="BF113" s="39"/>
      <c r="BG113" s="39"/>
      <c r="BH113" s="39"/>
      <c r="BI113" s="39"/>
      <c r="BJ113" s="39"/>
      <c r="BK113" s="39"/>
      <c r="BL113" s="39"/>
      <c r="BM113" s="39"/>
    </row>
    <row r="114" spans="1:65" ht="16" x14ac:dyDescent="0.2">
      <c r="A114" s="77">
        <v>98</v>
      </c>
      <c r="B114" s="78">
        <f t="shared" ref="B114:R114" si="217">B$12/(AK113+1)</f>
        <v>0.41304347826086957</v>
      </c>
      <c r="C114" s="78">
        <f t="shared" si="217"/>
        <v>0.41509433962264153</v>
      </c>
      <c r="D114" s="78">
        <f t="shared" si="217"/>
        <v>0</v>
      </c>
      <c r="E114" s="78">
        <f t="shared" si="217"/>
        <v>0</v>
      </c>
      <c r="F114" s="78">
        <f t="shared" si="217"/>
        <v>0</v>
      </c>
      <c r="G114" s="78">
        <f t="shared" si="217"/>
        <v>0</v>
      </c>
      <c r="H114" s="78">
        <f t="shared" si="217"/>
        <v>0</v>
      </c>
      <c r="I114" s="78">
        <f t="shared" si="217"/>
        <v>0</v>
      </c>
      <c r="J114" s="78">
        <f t="shared" si="217"/>
        <v>0</v>
      </c>
      <c r="K114" s="78">
        <f t="shared" si="217"/>
        <v>0</v>
      </c>
      <c r="L114" s="78">
        <f t="shared" si="217"/>
        <v>0</v>
      </c>
      <c r="M114" s="78">
        <f t="shared" si="217"/>
        <v>0</v>
      </c>
      <c r="N114" s="78">
        <f t="shared" si="217"/>
        <v>0</v>
      </c>
      <c r="O114" s="78">
        <f t="shared" si="217"/>
        <v>0</v>
      </c>
      <c r="P114" s="78">
        <f t="shared" si="217"/>
        <v>0</v>
      </c>
      <c r="Q114" s="78">
        <f t="shared" si="217"/>
        <v>0</v>
      </c>
      <c r="R114" s="79">
        <f t="shared" si="217"/>
        <v>0</v>
      </c>
      <c r="S114" s="79">
        <f t="shared" si="5"/>
        <v>0.41509433962264153</v>
      </c>
      <c r="T114" s="80">
        <f t="shared" si="6"/>
        <v>0</v>
      </c>
      <c r="U114" s="80">
        <f t="shared" si="7"/>
        <v>1</v>
      </c>
      <c r="V114" s="80">
        <f t="shared" si="8"/>
        <v>0</v>
      </c>
      <c r="W114" s="80">
        <f t="shared" si="9"/>
        <v>0</v>
      </c>
      <c r="X114" s="80">
        <f t="shared" si="10"/>
        <v>0</v>
      </c>
      <c r="Y114" s="80">
        <f t="shared" si="11"/>
        <v>0</v>
      </c>
      <c r="Z114" s="80">
        <f t="shared" si="12"/>
        <v>0</v>
      </c>
      <c r="AA114" s="80">
        <f t="shared" si="13"/>
        <v>0</v>
      </c>
      <c r="AB114" s="80">
        <f t="shared" si="14"/>
        <v>0</v>
      </c>
      <c r="AC114" s="80">
        <f t="shared" si="15"/>
        <v>0</v>
      </c>
      <c r="AD114" s="80">
        <f t="shared" si="16"/>
        <v>0</v>
      </c>
      <c r="AE114" s="80">
        <f t="shared" si="17"/>
        <v>0</v>
      </c>
      <c r="AF114" s="80">
        <f t="shared" si="18"/>
        <v>0</v>
      </c>
      <c r="AG114" s="80">
        <f t="shared" si="19"/>
        <v>0</v>
      </c>
      <c r="AH114" s="80">
        <f t="shared" si="20"/>
        <v>0</v>
      </c>
      <c r="AI114" s="80">
        <f t="shared" si="21"/>
        <v>0</v>
      </c>
      <c r="AJ114" s="80">
        <f t="shared" si="22"/>
        <v>0</v>
      </c>
      <c r="AK114" s="80">
        <f t="shared" ref="AK114:BA114" si="218">T114+AK113</f>
        <v>45</v>
      </c>
      <c r="AL114" s="81">
        <f t="shared" si="218"/>
        <v>53</v>
      </c>
      <c r="AM114" s="81">
        <f t="shared" si="218"/>
        <v>0</v>
      </c>
      <c r="AN114" s="81">
        <f t="shared" si="218"/>
        <v>0</v>
      </c>
      <c r="AO114" s="81">
        <f t="shared" si="218"/>
        <v>0</v>
      </c>
      <c r="AP114" s="81">
        <f t="shared" si="218"/>
        <v>0</v>
      </c>
      <c r="AQ114" s="81">
        <f t="shared" si="218"/>
        <v>0</v>
      </c>
      <c r="AR114" s="81">
        <f t="shared" si="218"/>
        <v>0</v>
      </c>
      <c r="AS114" s="81">
        <f t="shared" si="218"/>
        <v>0</v>
      </c>
      <c r="AT114" s="81">
        <f t="shared" si="218"/>
        <v>0</v>
      </c>
      <c r="AU114" s="81">
        <f t="shared" si="218"/>
        <v>0</v>
      </c>
      <c r="AV114" s="81">
        <f t="shared" si="218"/>
        <v>0</v>
      </c>
      <c r="AW114" s="81">
        <f t="shared" si="218"/>
        <v>0</v>
      </c>
      <c r="AX114" s="81">
        <f t="shared" si="218"/>
        <v>0</v>
      </c>
      <c r="AY114" s="81">
        <f t="shared" si="218"/>
        <v>0</v>
      </c>
      <c r="AZ114" s="81">
        <f t="shared" si="218"/>
        <v>0</v>
      </c>
      <c r="BA114" s="82">
        <f t="shared" si="218"/>
        <v>0</v>
      </c>
      <c r="BB114" s="39" t="str">
        <f t="shared" si="24"/>
        <v>Liste 2</v>
      </c>
      <c r="BC114" s="39"/>
      <c r="BD114" s="39"/>
      <c r="BE114" s="39"/>
      <c r="BF114" s="39"/>
      <c r="BG114" s="39"/>
      <c r="BH114" s="39"/>
      <c r="BI114" s="39"/>
      <c r="BJ114" s="39"/>
      <c r="BK114" s="39"/>
      <c r="BL114" s="39"/>
      <c r="BM114" s="39"/>
    </row>
    <row r="115" spans="1:65" ht="16" x14ac:dyDescent="0.2">
      <c r="A115" s="77">
        <v>99</v>
      </c>
      <c r="B115" s="78">
        <f t="shared" ref="B115:R115" si="219">B$12/(AK114+1)</f>
        <v>0.41304347826086957</v>
      </c>
      <c r="C115" s="78">
        <f t="shared" si="219"/>
        <v>0.40740740740740738</v>
      </c>
      <c r="D115" s="78">
        <f t="shared" si="219"/>
        <v>0</v>
      </c>
      <c r="E115" s="78">
        <f t="shared" si="219"/>
        <v>0</v>
      </c>
      <c r="F115" s="78">
        <f t="shared" si="219"/>
        <v>0</v>
      </c>
      <c r="G115" s="78">
        <f t="shared" si="219"/>
        <v>0</v>
      </c>
      <c r="H115" s="78">
        <f t="shared" si="219"/>
        <v>0</v>
      </c>
      <c r="I115" s="78">
        <f t="shared" si="219"/>
        <v>0</v>
      </c>
      <c r="J115" s="78">
        <f t="shared" si="219"/>
        <v>0</v>
      </c>
      <c r="K115" s="78">
        <f t="shared" si="219"/>
        <v>0</v>
      </c>
      <c r="L115" s="78">
        <f t="shared" si="219"/>
        <v>0</v>
      </c>
      <c r="M115" s="78">
        <f t="shared" si="219"/>
        <v>0</v>
      </c>
      <c r="N115" s="78">
        <f t="shared" si="219"/>
        <v>0</v>
      </c>
      <c r="O115" s="78">
        <f t="shared" si="219"/>
        <v>0</v>
      </c>
      <c r="P115" s="78">
        <f t="shared" si="219"/>
        <v>0</v>
      </c>
      <c r="Q115" s="78">
        <f t="shared" si="219"/>
        <v>0</v>
      </c>
      <c r="R115" s="79">
        <f t="shared" si="219"/>
        <v>0</v>
      </c>
      <c r="S115" s="79">
        <f t="shared" si="5"/>
        <v>0.41304347826086957</v>
      </c>
      <c r="T115" s="80">
        <f t="shared" si="6"/>
        <v>1</v>
      </c>
      <c r="U115" s="80">
        <f t="shared" si="7"/>
        <v>0</v>
      </c>
      <c r="V115" s="80">
        <f t="shared" si="8"/>
        <v>0</v>
      </c>
      <c r="W115" s="80">
        <f t="shared" si="9"/>
        <v>0</v>
      </c>
      <c r="X115" s="80">
        <f t="shared" si="10"/>
        <v>0</v>
      </c>
      <c r="Y115" s="80">
        <f t="shared" si="11"/>
        <v>0</v>
      </c>
      <c r="Z115" s="80">
        <f t="shared" si="12"/>
        <v>0</v>
      </c>
      <c r="AA115" s="80">
        <f t="shared" si="13"/>
        <v>0</v>
      </c>
      <c r="AB115" s="80">
        <f t="shared" si="14"/>
        <v>0</v>
      </c>
      <c r="AC115" s="80">
        <f t="shared" si="15"/>
        <v>0</v>
      </c>
      <c r="AD115" s="80">
        <f t="shared" si="16"/>
        <v>0</v>
      </c>
      <c r="AE115" s="80">
        <f t="shared" si="17"/>
        <v>0</v>
      </c>
      <c r="AF115" s="80">
        <f t="shared" si="18"/>
        <v>0</v>
      </c>
      <c r="AG115" s="80">
        <f t="shared" si="19"/>
        <v>0</v>
      </c>
      <c r="AH115" s="80">
        <f t="shared" si="20"/>
        <v>0</v>
      </c>
      <c r="AI115" s="80">
        <f t="shared" si="21"/>
        <v>0</v>
      </c>
      <c r="AJ115" s="80">
        <f t="shared" si="22"/>
        <v>0</v>
      </c>
      <c r="AK115" s="80">
        <f t="shared" ref="AK115:BA115" si="220">T115+AK114</f>
        <v>46</v>
      </c>
      <c r="AL115" s="81">
        <f t="shared" si="220"/>
        <v>53</v>
      </c>
      <c r="AM115" s="81">
        <f t="shared" si="220"/>
        <v>0</v>
      </c>
      <c r="AN115" s="81">
        <f t="shared" si="220"/>
        <v>0</v>
      </c>
      <c r="AO115" s="81">
        <f t="shared" si="220"/>
        <v>0</v>
      </c>
      <c r="AP115" s="81">
        <f t="shared" si="220"/>
        <v>0</v>
      </c>
      <c r="AQ115" s="81">
        <f t="shared" si="220"/>
        <v>0</v>
      </c>
      <c r="AR115" s="81">
        <f t="shared" si="220"/>
        <v>0</v>
      </c>
      <c r="AS115" s="81">
        <f t="shared" si="220"/>
        <v>0</v>
      </c>
      <c r="AT115" s="81">
        <f t="shared" si="220"/>
        <v>0</v>
      </c>
      <c r="AU115" s="81">
        <f t="shared" si="220"/>
        <v>0</v>
      </c>
      <c r="AV115" s="81">
        <f t="shared" si="220"/>
        <v>0</v>
      </c>
      <c r="AW115" s="81">
        <f t="shared" si="220"/>
        <v>0</v>
      </c>
      <c r="AX115" s="81">
        <f t="shared" si="220"/>
        <v>0</v>
      </c>
      <c r="AY115" s="81">
        <f t="shared" si="220"/>
        <v>0</v>
      </c>
      <c r="AZ115" s="81">
        <f t="shared" si="220"/>
        <v>0</v>
      </c>
      <c r="BA115" s="82">
        <f t="shared" si="220"/>
        <v>0</v>
      </c>
      <c r="BB115" s="39" t="str">
        <f t="shared" si="24"/>
        <v>Liste 1</v>
      </c>
      <c r="BC115" s="39"/>
      <c r="BD115" s="39"/>
      <c r="BE115" s="39"/>
      <c r="BF115" s="39"/>
      <c r="BG115" s="39"/>
      <c r="BH115" s="39"/>
      <c r="BI115" s="39"/>
      <c r="BJ115" s="39"/>
      <c r="BK115" s="39"/>
      <c r="BL115" s="39"/>
      <c r="BM115" s="39"/>
    </row>
    <row r="116" spans="1:65" ht="16" x14ac:dyDescent="0.2">
      <c r="A116" s="77">
        <v>100</v>
      </c>
      <c r="B116" s="78">
        <f t="shared" ref="B116:R116" si="221">B$12/(AK115+1)</f>
        <v>0.40425531914893614</v>
      </c>
      <c r="C116" s="78">
        <f t="shared" si="221"/>
        <v>0.40740740740740738</v>
      </c>
      <c r="D116" s="78">
        <f t="shared" si="221"/>
        <v>0</v>
      </c>
      <c r="E116" s="78">
        <f t="shared" si="221"/>
        <v>0</v>
      </c>
      <c r="F116" s="78">
        <f t="shared" si="221"/>
        <v>0</v>
      </c>
      <c r="G116" s="78">
        <f t="shared" si="221"/>
        <v>0</v>
      </c>
      <c r="H116" s="78">
        <f t="shared" si="221"/>
        <v>0</v>
      </c>
      <c r="I116" s="78">
        <f t="shared" si="221"/>
        <v>0</v>
      </c>
      <c r="J116" s="78">
        <f t="shared" si="221"/>
        <v>0</v>
      </c>
      <c r="K116" s="78">
        <f t="shared" si="221"/>
        <v>0</v>
      </c>
      <c r="L116" s="78">
        <f t="shared" si="221"/>
        <v>0</v>
      </c>
      <c r="M116" s="78">
        <f t="shared" si="221"/>
        <v>0</v>
      </c>
      <c r="N116" s="78">
        <f t="shared" si="221"/>
        <v>0</v>
      </c>
      <c r="O116" s="78">
        <f t="shared" si="221"/>
        <v>0</v>
      </c>
      <c r="P116" s="78">
        <f t="shared" si="221"/>
        <v>0</v>
      </c>
      <c r="Q116" s="78">
        <f t="shared" si="221"/>
        <v>0</v>
      </c>
      <c r="R116" s="79">
        <f t="shared" si="221"/>
        <v>0</v>
      </c>
      <c r="S116" s="79">
        <f t="shared" si="5"/>
        <v>0.40740740740740738</v>
      </c>
      <c r="T116" s="80">
        <f t="shared" si="6"/>
        <v>0</v>
      </c>
      <c r="U116" s="80">
        <f t="shared" si="7"/>
        <v>1</v>
      </c>
      <c r="V116" s="80">
        <f t="shared" si="8"/>
        <v>0</v>
      </c>
      <c r="W116" s="80">
        <f t="shared" si="9"/>
        <v>0</v>
      </c>
      <c r="X116" s="80">
        <f t="shared" si="10"/>
        <v>0</v>
      </c>
      <c r="Y116" s="80">
        <f t="shared" si="11"/>
        <v>0</v>
      </c>
      <c r="Z116" s="80">
        <f t="shared" si="12"/>
        <v>0</v>
      </c>
      <c r="AA116" s="80">
        <f t="shared" si="13"/>
        <v>0</v>
      </c>
      <c r="AB116" s="80">
        <f t="shared" si="14"/>
        <v>0</v>
      </c>
      <c r="AC116" s="80">
        <f t="shared" si="15"/>
        <v>0</v>
      </c>
      <c r="AD116" s="80">
        <f t="shared" si="16"/>
        <v>0</v>
      </c>
      <c r="AE116" s="80">
        <f t="shared" si="17"/>
        <v>0</v>
      </c>
      <c r="AF116" s="80">
        <f t="shared" si="18"/>
        <v>0</v>
      </c>
      <c r="AG116" s="80">
        <f t="shared" si="19"/>
        <v>0</v>
      </c>
      <c r="AH116" s="80">
        <f t="shared" si="20"/>
        <v>0</v>
      </c>
      <c r="AI116" s="80">
        <f t="shared" si="21"/>
        <v>0</v>
      </c>
      <c r="AJ116" s="80">
        <f t="shared" si="22"/>
        <v>0</v>
      </c>
      <c r="AK116" s="80">
        <f t="shared" ref="AK116:BA116" si="222">T116+AK115</f>
        <v>46</v>
      </c>
      <c r="AL116" s="81">
        <f t="shared" si="222"/>
        <v>54</v>
      </c>
      <c r="AM116" s="81">
        <f t="shared" si="222"/>
        <v>0</v>
      </c>
      <c r="AN116" s="81">
        <f t="shared" si="222"/>
        <v>0</v>
      </c>
      <c r="AO116" s="81">
        <f t="shared" si="222"/>
        <v>0</v>
      </c>
      <c r="AP116" s="81">
        <f t="shared" si="222"/>
        <v>0</v>
      </c>
      <c r="AQ116" s="81">
        <f t="shared" si="222"/>
        <v>0</v>
      </c>
      <c r="AR116" s="81">
        <f t="shared" si="222"/>
        <v>0</v>
      </c>
      <c r="AS116" s="81">
        <f t="shared" si="222"/>
        <v>0</v>
      </c>
      <c r="AT116" s="81">
        <f t="shared" si="222"/>
        <v>0</v>
      </c>
      <c r="AU116" s="81">
        <f t="shared" si="222"/>
        <v>0</v>
      </c>
      <c r="AV116" s="81">
        <f t="shared" si="222"/>
        <v>0</v>
      </c>
      <c r="AW116" s="81">
        <f t="shared" si="222"/>
        <v>0</v>
      </c>
      <c r="AX116" s="81">
        <f t="shared" si="222"/>
        <v>0</v>
      </c>
      <c r="AY116" s="81">
        <f t="shared" si="222"/>
        <v>0</v>
      </c>
      <c r="AZ116" s="81">
        <f t="shared" si="222"/>
        <v>0</v>
      </c>
      <c r="BA116" s="82">
        <f t="shared" si="222"/>
        <v>0</v>
      </c>
      <c r="BB116" s="39" t="str">
        <f t="shared" si="24"/>
        <v>Liste 2</v>
      </c>
      <c r="BC116" s="39"/>
      <c r="BD116" s="39"/>
      <c r="BE116" s="39"/>
      <c r="BF116" s="39"/>
      <c r="BG116" s="39"/>
      <c r="BH116" s="39"/>
      <c r="BI116" s="39"/>
      <c r="BJ116" s="39"/>
      <c r="BK116" s="39"/>
      <c r="BL116" s="39"/>
      <c r="BM116" s="39"/>
    </row>
    <row r="117" spans="1:65" ht="16" x14ac:dyDescent="0.2">
      <c r="A117" s="77">
        <v>101</v>
      </c>
      <c r="B117" s="78">
        <f t="shared" ref="B117:R117" si="223">B$12/(AK116+1)</f>
        <v>0.40425531914893614</v>
      </c>
      <c r="C117" s="78">
        <f t="shared" si="223"/>
        <v>0.4</v>
      </c>
      <c r="D117" s="78">
        <f t="shared" si="223"/>
        <v>0</v>
      </c>
      <c r="E117" s="78">
        <f t="shared" si="223"/>
        <v>0</v>
      </c>
      <c r="F117" s="78">
        <f t="shared" si="223"/>
        <v>0</v>
      </c>
      <c r="G117" s="78">
        <f t="shared" si="223"/>
        <v>0</v>
      </c>
      <c r="H117" s="78">
        <f t="shared" si="223"/>
        <v>0</v>
      </c>
      <c r="I117" s="78">
        <f t="shared" si="223"/>
        <v>0</v>
      </c>
      <c r="J117" s="78">
        <f t="shared" si="223"/>
        <v>0</v>
      </c>
      <c r="K117" s="78">
        <f t="shared" si="223"/>
        <v>0</v>
      </c>
      <c r="L117" s="78">
        <f t="shared" si="223"/>
        <v>0</v>
      </c>
      <c r="M117" s="78">
        <f t="shared" si="223"/>
        <v>0</v>
      </c>
      <c r="N117" s="78">
        <f t="shared" si="223"/>
        <v>0</v>
      </c>
      <c r="O117" s="78">
        <f t="shared" si="223"/>
        <v>0</v>
      </c>
      <c r="P117" s="78">
        <f t="shared" si="223"/>
        <v>0</v>
      </c>
      <c r="Q117" s="78">
        <f t="shared" si="223"/>
        <v>0</v>
      </c>
      <c r="R117" s="79">
        <f t="shared" si="223"/>
        <v>0</v>
      </c>
      <c r="S117" s="79">
        <f t="shared" si="5"/>
        <v>0.40425531914893614</v>
      </c>
      <c r="T117" s="80">
        <f t="shared" si="6"/>
        <v>1</v>
      </c>
      <c r="U117" s="80">
        <f t="shared" si="7"/>
        <v>0</v>
      </c>
      <c r="V117" s="80">
        <f t="shared" si="8"/>
        <v>0</v>
      </c>
      <c r="W117" s="80">
        <f t="shared" si="9"/>
        <v>0</v>
      </c>
      <c r="X117" s="80">
        <f t="shared" si="10"/>
        <v>0</v>
      </c>
      <c r="Y117" s="80">
        <f t="shared" si="11"/>
        <v>0</v>
      </c>
      <c r="Z117" s="80">
        <f t="shared" si="12"/>
        <v>0</v>
      </c>
      <c r="AA117" s="80">
        <f t="shared" si="13"/>
        <v>0</v>
      </c>
      <c r="AB117" s="80">
        <f t="shared" si="14"/>
        <v>0</v>
      </c>
      <c r="AC117" s="80">
        <f t="shared" si="15"/>
        <v>0</v>
      </c>
      <c r="AD117" s="80">
        <f t="shared" si="16"/>
        <v>0</v>
      </c>
      <c r="AE117" s="80">
        <f t="shared" si="17"/>
        <v>0</v>
      </c>
      <c r="AF117" s="80">
        <f t="shared" si="18"/>
        <v>0</v>
      </c>
      <c r="AG117" s="80">
        <f t="shared" si="19"/>
        <v>0</v>
      </c>
      <c r="AH117" s="80">
        <f t="shared" si="20"/>
        <v>0</v>
      </c>
      <c r="AI117" s="80">
        <f t="shared" si="21"/>
        <v>0</v>
      </c>
      <c r="AJ117" s="80">
        <f t="shared" si="22"/>
        <v>0</v>
      </c>
      <c r="AK117" s="80">
        <f t="shared" ref="AK117:BA117" si="224">T117+AK116</f>
        <v>47</v>
      </c>
      <c r="AL117" s="81">
        <f t="shared" si="224"/>
        <v>54</v>
      </c>
      <c r="AM117" s="81">
        <f t="shared" si="224"/>
        <v>0</v>
      </c>
      <c r="AN117" s="81">
        <f t="shared" si="224"/>
        <v>0</v>
      </c>
      <c r="AO117" s="81">
        <f t="shared" si="224"/>
        <v>0</v>
      </c>
      <c r="AP117" s="81">
        <f t="shared" si="224"/>
        <v>0</v>
      </c>
      <c r="AQ117" s="81">
        <f t="shared" si="224"/>
        <v>0</v>
      </c>
      <c r="AR117" s="81">
        <f t="shared" si="224"/>
        <v>0</v>
      </c>
      <c r="AS117" s="81">
        <f t="shared" si="224"/>
        <v>0</v>
      </c>
      <c r="AT117" s="81">
        <f t="shared" si="224"/>
        <v>0</v>
      </c>
      <c r="AU117" s="81">
        <f t="shared" si="224"/>
        <v>0</v>
      </c>
      <c r="AV117" s="81">
        <f t="shared" si="224"/>
        <v>0</v>
      </c>
      <c r="AW117" s="81">
        <f t="shared" si="224"/>
        <v>0</v>
      </c>
      <c r="AX117" s="81">
        <f t="shared" si="224"/>
        <v>0</v>
      </c>
      <c r="AY117" s="81">
        <f t="shared" si="224"/>
        <v>0</v>
      </c>
      <c r="AZ117" s="81">
        <f t="shared" si="224"/>
        <v>0</v>
      </c>
      <c r="BA117" s="82">
        <f t="shared" si="224"/>
        <v>0</v>
      </c>
      <c r="BB117" s="39" t="str">
        <f t="shared" si="24"/>
        <v>Liste 1</v>
      </c>
      <c r="BC117" s="39"/>
      <c r="BD117" s="39"/>
      <c r="BE117" s="39"/>
      <c r="BF117" s="39"/>
      <c r="BG117" s="39"/>
      <c r="BH117" s="39"/>
      <c r="BI117" s="39"/>
      <c r="BJ117" s="39"/>
      <c r="BK117" s="39"/>
      <c r="BL117" s="39"/>
      <c r="BM117" s="39"/>
    </row>
    <row r="118" spans="1:65" ht="16" x14ac:dyDescent="0.2">
      <c r="A118" s="77">
        <v>102</v>
      </c>
      <c r="B118" s="78">
        <f t="shared" ref="B118:R118" si="225">B$12/(AK117+1)</f>
        <v>0.39583333333333331</v>
      </c>
      <c r="C118" s="78">
        <f t="shared" si="225"/>
        <v>0.4</v>
      </c>
      <c r="D118" s="78">
        <f t="shared" si="225"/>
        <v>0</v>
      </c>
      <c r="E118" s="78">
        <f t="shared" si="225"/>
        <v>0</v>
      </c>
      <c r="F118" s="78">
        <f t="shared" si="225"/>
        <v>0</v>
      </c>
      <c r="G118" s="78">
        <f t="shared" si="225"/>
        <v>0</v>
      </c>
      <c r="H118" s="78">
        <f t="shared" si="225"/>
        <v>0</v>
      </c>
      <c r="I118" s="78">
        <f t="shared" si="225"/>
        <v>0</v>
      </c>
      <c r="J118" s="78">
        <f t="shared" si="225"/>
        <v>0</v>
      </c>
      <c r="K118" s="78">
        <f t="shared" si="225"/>
        <v>0</v>
      </c>
      <c r="L118" s="78">
        <f t="shared" si="225"/>
        <v>0</v>
      </c>
      <c r="M118" s="78">
        <f t="shared" si="225"/>
        <v>0</v>
      </c>
      <c r="N118" s="78">
        <f t="shared" si="225"/>
        <v>0</v>
      </c>
      <c r="O118" s="78">
        <f t="shared" si="225"/>
        <v>0</v>
      </c>
      <c r="P118" s="78">
        <f t="shared" si="225"/>
        <v>0</v>
      </c>
      <c r="Q118" s="78">
        <f t="shared" si="225"/>
        <v>0</v>
      </c>
      <c r="R118" s="79">
        <f t="shared" si="225"/>
        <v>0</v>
      </c>
      <c r="S118" s="79">
        <f t="shared" si="5"/>
        <v>0.4</v>
      </c>
      <c r="T118" s="80">
        <f t="shared" si="6"/>
        <v>0</v>
      </c>
      <c r="U118" s="80">
        <f t="shared" si="7"/>
        <v>1</v>
      </c>
      <c r="V118" s="80">
        <f t="shared" si="8"/>
        <v>0</v>
      </c>
      <c r="W118" s="80">
        <f t="shared" si="9"/>
        <v>0</v>
      </c>
      <c r="X118" s="80">
        <f t="shared" si="10"/>
        <v>0</v>
      </c>
      <c r="Y118" s="80">
        <f t="shared" si="11"/>
        <v>0</v>
      </c>
      <c r="Z118" s="80">
        <f t="shared" si="12"/>
        <v>0</v>
      </c>
      <c r="AA118" s="80">
        <f t="shared" si="13"/>
        <v>0</v>
      </c>
      <c r="AB118" s="80">
        <f t="shared" si="14"/>
        <v>0</v>
      </c>
      <c r="AC118" s="80">
        <f t="shared" si="15"/>
        <v>0</v>
      </c>
      <c r="AD118" s="80">
        <f t="shared" si="16"/>
        <v>0</v>
      </c>
      <c r="AE118" s="80">
        <f t="shared" si="17"/>
        <v>0</v>
      </c>
      <c r="AF118" s="80">
        <f t="shared" si="18"/>
        <v>0</v>
      </c>
      <c r="AG118" s="80">
        <f t="shared" si="19"/>
        <v>0</v>
      </c>
      <c r="AH118" s="80">
        <f t="shared" si="20"/>
        <v>0</v>
      </c>
      <c r="AI118" s="80">
        <f t="shared" si="21"/>
        <v>0</v>
      </c>
      <c r="AJ118" s="80">
        <f t="shared" si="22"/>
        <v>0</v>
      </c>
      <c r="AK118" s="80">
        <f t="shared" ref="AK118:BA118" si="226">T118+AK117</f>
        <v>47</v>
      </c>
      <c r="AL118" s="81">
        <f t="shared" si="226"/>
        <v>55</v>
      </c>
      <c r="AM118" s="81">
        <f t="shared" si="226"/>
        <v>0</v>
      </c>
      <c r="AN118" s="81">
        <f t="shared" si="226"/>
        <v>0</v>
      </c>
      <c r="AO118" s="81">
        <f t="shared" si="226"/>
        <v>0</v>
      </c>
      <c r="AP118" s="81">
        <f t="shared" si="226"/>
        <v>0</v>
      </c>
      <c r="AQ118" s="81">
        <f t="shared" si="226"/>
        <v>0</v>
      </c>
      <c r="AR118" s="81">
        <f t="shared" si="226"/>
        <v>0</v>
      </c>
      <c r="AS118" s="81">
        <f t="shared" si="226"/>
        <v>0</v>
      </c>
      <c r="AT118" s="81">
        <f t="shared" si="226"/>
        <v>0</v>
      </c>
      <c r="AU118" s="81">
        <f t="shared" si="226"/>
        <v>0</v>
      </c>
      <c r="AV118" s="81">
        <f t="shared" si="226"/>
        <v>0</v>
      </c>
      <c r="AW118" s="81">
        <f t="shared" si="226"/>
        <v>0</v>
      </c>
      <c r="AX118" s="81">
        <f t="shared" si="226"/>
        <v>0</v>
      </c>
      <c r="AY118" s="81">
        <f t="shared" si="226"/>
        <v>0</v>
      </c>
      <c r="AZ118" s="81">
        <f t="shared" si="226"/>
        <v>0</v>
      </c>
      <c r="BA118" s="82">
        <f t="shared" si="226"/>
        <v>0</v>
      </c>
      <c r="BB118" s="39" t="str">
        <f t="shared" si="24"/>
        <v>Liste 2</v>
      </c>
      <c r="BC118" s="39"/>
      <c r="BD118" s="39"/>
      <c r="BE118" s="39"/>
      <c r="BF118" s="39"/>
      <c r="BG118" s="39"/>
      <c r="BH118" s="39"/>
      <c r="BI118" s="39"/>
      <c r="BJ118" s="39"/>
      <c r="BK118" s="39"/>
      <c r="BL118" s="39"/>
      <c r="BM118" s="39"/>
    </row>
    <row r="119" spans="1:65" ht="16" x14ac:dyDescent="0.2">
      <c r="A119" s="77">
        <v>103</v>
      </c>
      <c r="B119" s="78">
        <f t="shared" ref="B119:R119" si="227">B$12/(AK118+1)</f>
        <v>0.39583333333333331</v>
      </c>
      <c r="C119" s="78">
        <f t="shared" si="227"/>
        <v>0.39285714285714285</v>
      </c>
      <c r="D119" s="78">
        <f t="shared" si="227"/>
        <v>0</v>
      </c>
      <c r="E119" s="78">
        <f t="shared" si="227"/>
        <v>0</v>
      </c>
      <c r="F119" s="78">
        <f t="shared" si="227"/>
        <v>0</v>
      </c>
      <c r="G119" s="78">
        <f t="shared" si="227"/>
        <v>0</v>
      </c>
      <c r="H119" s="78">
        <f t="shared" si="227"/>
        <v>0</v>
      </c>
      <c r="I119" s="78">
        <f t="shared" si="227"/>
        <v>0</v>
      </c>
      <c r="J119" s="78">
        <f t="shared" si="227"/>
        <v>0</v>
      </c>
      <c r="K119" s="78">
        <f t="shared" si="227"/>
        <v>0</v>
      </c>
      <c r="L119" s="78">
        <f t="shared" si="227"/>
        <v>0</v>
      </c>
      <c r="M119" s="78">
        <f t="shared" si="227"/>
        <v>0</v>
      </c>
      <c r="N119" s="78">
        <f t="shared" si="227"/>
        <v>0</v>
      </c>
      <c r="O119" s="78">
        <f t="shared" si="227"/>
        <v>0</v>
      </c>
      <c r="P119" s="78">
        <f t="shared" si="227"/>
        <v>0</v>
      </c>
      <c r="Q119" s="78">
        <f t="shared" si="227"/>
        <v>0</v>
      </c>
      <c r="R119" s="79">
        <f t="shared" si="227"/>
        <v>0</v>
      </c>
      <c r="S119" s="79">
        <f t="shared" si="5"/>
        <v>0.39583333333333331</v>
      </c>
      <c r="T119" s="80">
        <f t="shared" si="6"/>
        <v>1</v>
      </c>
      <c r="U119" s="80">
        <f t="shared" si="7"/>
        <v>0</v>
      </c>
      <c r="V119" s="80">
        <f t="shared" si="8"/>
        <v>0</v>
      </c>
      <c r="W119" s="80">
        <f t="shared" si="9"/>
        <v>0</v>
      </c>
      <c r="X119" s="80">
        <f t="shared" si="10"/>
        <v>0</v>
      </c>
      <c r="Y119" s="80">
        <f t="shared" si="11"/>
        <v>0</v>
      </c>
      <c r="Z119" s="80">
        <f t="shared" si="12"/>
        <v>0</v>
      </c>
      <c r="AA119" s="80">
        <f t="shared" si="13"/>
        <v>0</v>
      </c>
      <c r="AB119" s="80">
        <f t="shared" si="14"/>
        <v>0</v>
      </c>
      <c r="AC119" s="80">
        <f t="shared" si="15"/>
        <v>0</v>
      </c>
      <c r="AD119" s="80">
        <f t="shared" si="16"/>
        <v>0</v>
      </c>
      <c r="AE119" s="80">
        <f t="shared" si="17"/>
        <v>0</v>
      </c>
      <c r="AF119" s="80">
        <f t="shared" si="18"/>
        <v>0</v>
      </c>
      <c r="AG119" s="80">
        <f t="shared" si="19"/>
        <v>0</v>
      </c>
      <c r="AH119" s="80">
        <f t="shared" si="20"/>
        <v>0</v>
      </c>
      <c r="AI119" s="80">
        <f t="shared" si="21"/>
        <v>0</v>
      </c>
      <c r="AJ119" s="80">
        <f t="shared" si="22"/>
        <v>0</v>
      </c>
      <c r="AK119" s="80">
        <f t="shared" ref="AK119:BA119" si="228">T119+AK118</f>
        <v>48</v>
      </c>
      <c r="AL119" s="81">
        <f t="shared" si="228"/>
        <v>55</v>
      </c>
      <c r="AM119" s="81">
        <f t="shared" si="228"/>
        <v>0</v>
      </c>
      <c r="AN119" s="81">
        <f t="shared" si="228"/>
        <v>0</v>
      </c>
      <c r="AO119" s="81">
        <f t="shared" si="228"/>
        <v>0</v>
      </c>
      <c r="AP119" s="81">
        <f t="shared" si="228"/>
        <v>0</v>
      </c>
      <c r="AQ119" s="81">
        <f t="shared" si="228"/>
        <v>0</v>
      </c>
      <c r="AR119" s="81">
        <f t="shared" si="228"/>
        <v>0</v>
      </c>
      <c r="AS119" s="81">
        <f t="shared" si="228"/>
        <v>0</v>
      </c>
      <c r="AT119" s="81">
        <f t="shared" si="228"/>
        <v>0</v>
      </c>
      <c r="AU119" s="81">
        <f t="shared" si="228"/>
        <v>0</v>
      </c>
      <c r="AV119" s="81">
        <f t="shared" si="228"/>
        <v>0</v>
      </c>
      <c r="AW119" s="81">
        <f t="shared" si="228"/>
        <v>0</v>
      </c>
      <c r="AX119" s="81">
        <f t="shared" si="228"/>
        <v>0</v>
      </c>
      <c r="AY119" s="81">
        <f t="shared" si="228"/>
        <v>0</v>
      </c>
      <c r="AZ119" s="81">
        <f t="shared" si="228"/>
        <v>0</v>
      </c>
      <c r="BA119" s="82">
        <f t="shared" si="228"/>
        <v>0</v>
      </c>
      <c r="BB119" s="39" t="str">
        <f t="shared" si="24"/>
        <v>Liste 1</v>
      </c>
      <c r="BC119" s="39"/>
      <c r="BD119" s="39"/>
      <c r="BE119" s="39"/>
      <c r="BF119" s="39"/>
      <c r="BG119" s="39"/>
      <c r="BH119" s="39"/>
      <c r="BI119" s="39"/>
      <c r="BJ119" s="39"/>
      <c r="BK119" s="39"/>
      <c r="BL119" s="39"/>
      <c r="BM119" s="39"/>
    </row>
    <row r="120" spans="1:65" ht="16" x14ac:dyDescent="0.2">
      <c r="A120" s="77">
        <v>104</v>
      </c>
      <c r="B120" s="78">
        <f t="shared" ref="B120:R120" si="229">B$12/(AK119+1)</f>
        <v>0.38775510204081631</v>
      </c>
      <c r="C120" s="78">
        <f t="shared" si="229"/>
        <v>0.39285714285714285</v>
      </c>
      <c r="D120" s="78">
        <f t="shared" si="229"/>
        <v>0</v>
      </c>
      <c r="E120" s="78">
        <f t="shared" si="229"/>
        <v>0</v>
      </c>
      <c r="F120" s="78">
        <f t="shared" si="229"/>
        <v>0</v>
      </c>
      <c r="G120" s="78">
        <f t="shared" si="229"/>
        <v>0</v>
      </c>
      <c r="H120" s="78">
        <f t="shared" si="229"/>
        <v>0</v>
      </c>
      <c r="I120" s="78">
        <f t="shared" si="229"/>
        <v>0</v>
      </c>
      <c r="J120" s="78">
        <f t="shared" si="229"/>
        <v>0</v>
      </c>
      <c r="K120" s="78">
        <f t="shared" si="229"/>
        <v>0</v>
      </c>
      <c r="L120" s="78">
        <f t="shared" si="229"/>
        <v>0</v>
      </c>
      <c r="M120" s="78">
        <f t="shared" si="229"/>
        <v>0</v>
      </c>
      <c r="N120" s="78">
        <f t="shared" si="229"/>
        <v>0</v>
      </c>
      <c r="O120" s="78">
        <f t="shared" si="229"/>
        <v>0</v>
      </c>
      <c r="P120" s="78">
        <f t="shared" si="229"/>
        <v>0</v>
      </c>
      <c r="Q120" s="78">
        <f t="shared" si="229"/>
        <v>0</v>
      </c>
      <c r="R120" s="79">
        <f t="shared" si="229"/>
        <v>0</v>
      </c>
      <c r="S120" s="79">
        <f t="shared" si="5"/>
        <v>0.39285714285714285</v>
      </c>
      <c r="T120" s="80">
        <f t="shared" si="6"/>
        <v>0</v>
      </c>
      <c r="U120" s="80">
        <f t="shared" si="7"/>
        <v>1</v>
      </c>
      <c r="V120" s="80">
        <f t="shared" si="8"/>
        <v>0</v>
      </c>
      <c r="W120" s="80">
        <f t="shared" si="9"/>
        <v>0</v>
      </c>
      <c r="X120" s="80">
        <f t="shared" si="10"/>
        <v>0</v>
      </c>
      <c r="Y120" s="80">
        <f t="shared" si="11"/>
        <v>0</v>
      </c>
      <c r="Z120" s="80">
        <f t="shared" si="12"/>
        <v>0</v>
      </c>
      <c r="AA120" s="80">
        <f t="shared" si="13"/>
        <v>0</v>
      </c>
      <c r="AB120" s="80">
        <f t="shared" si="14"/>
        <v>0</v>
      </c>
      <c r="AC120" s="80">
        <f t="shared" si="15"/>
        <v>0</v>
      </c>
      <c r="AD120" s="80">
        <f t="shared" si="16"/>
        <v>0</v>
      </c>
      <c r="AE120" s="80">
        <f t="shared" si="17"/>
        <v>0</v>
      </c>
      <c r="AF120" s="80">
        <f t="shared" si="18"/>
        <v>0</v>
      </c>
      <c r="AG120" s="80">
        <f t="shared" si="19"/>
        <v>0</v>
      </c>
      <c r="AH120" s="80">
        <f t="shared" si="20"/>
        <v>0</v>
      </c>
      <c r="AI120" s="80">
        <f t="shared" si="21"/>
        <v>0</v>
      </c>
      <c r="AJ120" s="80">
        <f t="shared" si="22"/>
        <v>0</v>
      </c>
      <c r="AK120" s="80">
        <f t="shared" ref="AK120:BA120" si="230">T120+AK119</f>
        <v>48</v>
      </c>
      <c r="AL120" s="81">
        <f t="shared" si="230"/>
        <v>56</v>
      </c>
      <c r="AM120" s="81">
        <f t="shared" si="230"/>
        <v>0</v>
      </c>
      <c r="AN120" s="81">
        <f t="shared" si="230"/>
        <v>0</v>
      </c>
      <c r="AO120" s="81">
        <f t="shared" si="230"/>
        <v>0</v>
      </c>
      <c r="AP120" s="81">
        <f t="shared" si="230"/>
        <v>0</v>
      </c>
      <c r="AQ120" s="81">
        <f t="shared" si="230"/>
        <v>0</v>
      </c>
      <c r="AR120" s="81">
        <f t="shared" si="230"/>
        <v>0</v>
      </c>
      <c r="AS120" s="81">
        <f t="shared" si="230"/>
        <v>0</v>
      </c>
      <c r="AT120" s="81">
        <f t="shared" si="230"/>
        <v>0</v>
      </c>
      <c r="AU120" s="81">
        <f t="shared" si="230"/>
        <v>0</v>
      </c>
      <c r="AV120" s="81">
        <f t="shared" si="230"/>
        <v>0</v>
      </c>
      <c r="AW120" s="81">
        <f t="shared" si="230"/>
        <v>0</v>
      </c>
      <c r="AX120" s="81">
        <f t="shared" si="230"/>
        <v>0</v>
      </c>
      <c r="AY120" s="81">
        <f t="shared" si="230"/>
        <v>0</v>
      </c>
      <c r="AZ120" s="81">
        <f t="shared" si="230"/>
        <v>0</v>
      </c>
      <c r="BA120" s="82">
        <f t="shared" si="230"/>
        <v>0</v>
      </c>
      <c r="BB120" s="39" t="str">
        <f t="shared" si="24"/>
        <v>Liste 2</v>
      </c>
      <c r="BC120" s="39"/>
      <c r="BD120" s="39"/>
      <c r="BE120" s="39"/>
      <c r="BF120" s="39"/>
      <c r="BG120" s="39"/>
      <c r="BH120" s="39"/>
      <c r="BI120" s="39"/>
      <c r="BJ120" s="39"/>
      <c r="BK120" s="39"/>
      <c r="BL120" s="39"/>
      <c r="BM120" s="39"/>
    </row>
    <row r="121" spans="1:65" ht="16" x14ac:dyDescent="0.2">
      <c r="A121" s="77">
        <v>105</v>
      </c>
      <c r="B121" s="78">
        <f t="shared" ref="B121:R121" si="231">B$12/(AK120+1)</f>
        <v>0.38775510204081631</v>
      </c>
      <c r="C121" s="78">
        <f t="shared" si="231"/>
        <v>0.38596491228070173</v>
      </c>
      <c r="D121" s="78">
        <f t="shared" si="231"/>
        <v>0</v>
      </c>
      <c r="E121" s="78">
        <f t="shared" si="231"/>
        <v>0</v>
      </c>
      <c r="F121" s="78">
        <f t="shared" si="231"/>
        <v>0</v>
      </c>
      <c r="G121" s="78">
        <f t="shared" si="231"/>
        <v>0</v>
      </c>
      <c r="H121" s="78">
        <f t="shared" si="231"/>
        <v>0</v>
      </c>
      <c r="I121" s="78">
        <f t="shared" si="231"/>
        <v>0</v>
      </c>
      <c r="J121" s="78">
        <f t="shared" si="231"/>
        <v>0</v>
      </c>
      <c r="K121" s="78">
        <f t="shared" si="231"/>
        <v>0</v>
      </c>
      <c r="L121" s="78">
        <f t="shared" si="231"/>
        <v>0</v>
      </c>
      <c r="M121" s="78">
        <f t="shared" si="231"/>
        <v>0</v>
      </c>
      <c r="N121" s="78">
        <f t="shared" si="231"/>
        <v>0</v>
      </c>
      <c r="O121" s="78">
        <f t="shared" si="231"/>
        <v>0</v>
      </c>
      <c r="P121" s="78">
        <f t="shared" si="231"/>
        <v>0</v>
      </c>
      <c r="Q121" s="78">
        <f t="shared" si="231"/>
        <v>0</v>
      </c>
      <c r="R121" s="79">
        <f t="shared" si="231"/>
        <v>0</v>
      </c>
      <c r="S121" s="79">
        <f t="shared" si="5"/>
        <v>0.38775510204081631</v>
      </c>
      <c r="T121" s="80">
        <f t="shared" si="6"/>
        <v>1</v>
      </c>
      <c r="U121" s="80">
        <f t="shared" si="7"/>
        <v>0</v>
      </c>
      <c r="V121" s="80">
        <f t="shared" si="8"/>
        <v>0</v>
      </c>
      <c r="W121" s="80">
        <f t="shared" si="9"/>
        <v>0</v>
      </c>
      <c r="X121" s="80">
        <f t="shared" si="10"/>
        <v>0</v>
      </c>
      <c r="Y121" s="80">
        <f t="shared" si="11"/>
        <v>0</v>
      </c>
      <c r="Z121" s="80">
        <f t="shared" si="12"/>
        <v>0</v>
      </c>
      <c r="AA121" s="80">
        <f t="shared" si="13"/>
        <v>0</v>
      </c>
      <c r="AB121" s="80">
        <f t="shared" si="14"/>
        <v>0</v>
      </c>
      <c r="AC121" s="80">
        <f t="shared" si="15"/>
        <v>0</v>
      </c>
      <c r="AD121" s="80">
        <f t="shared" si="16"/>
        <v>0</v>
      </c>
      <c r="AE121" s="80">
        <f t="shared" si="17"/>
        <v>0</v>
      </c>
      <c r="AF121" s="80">
        <f t="shared" si="18"/>
        <v>0</v>
      </c>
      <c r="AG121" s="80">
        <f t="shared" si="19"/>
        <v>0</v>
      </c>
      <c r="AH121" s="80">
        <f t="shared" si="20"/>
        <v>0</v>
      </c>
      <c r="AI121" s="80">
        <f t="shared" si="21"/>
        <v>0</v>
      </c>
      <c r="AJ121" s="80">
        <f t="shared" si="22"/>
        <v>0</v>
      </c>
      <c r="AK121" s="80">
        <f t="shared" ref="AK121:BA121" si="232">T121+AK120</f>
        <v>49</v>
      </c>
      <c r="AL121" s="81">
        <f t="shared" si="232"/>
        <v>56</v>
      </c>
      <c r="AM121" s="81">
        <f t="shared" si="232"/>
        <v>0</v>
      </c>
      <c r="AN121" s="81">
        <f t="shared" si="232"/>
        <v>0</v>
      </c>
      <c r="AO121" s="81">
        <f t="shared" si="232"/>
        <v>0</v>
      </c>
      <c r="AP121" s="81">
        <f t="shared" si="232"/>
        <v>0</v>
      </c>
      <c r="AQ121" s="81">
        <f t="shared" si="232"/>
        <v>0</v>
      </c>
      <c r="AR121" s="81">
        <f t="shared" si="232"/>
        <v>0</v>
      </c>
      <c r="AS121" s="81">
        <f t="shared" si="232"/>
        <v>0</v>
      </c>
      <c r="AT121" s="81">
        <f t="shared" si="232"/>
        <v>0</v>
      </c>
      <c r="AU121" s="81">
        <f t="shared" si="232"/>
        <v>0</v>
      </c>
      <c r="AV121" s="81">
        <f t="shared" si="232"/>
        <v>0</v>
      </c>
      <c r="AW121" s="81">
        <f t="shared" si="232"/>
        <v>0</v>
      </c>
      <c r="AX121" s="81">
        <f t="shared" si="232"/>
        <v>0</v>
      </c>
      <c r="AY121" s="81">
        <f t="shared" si="232"/>
        <v>0</v>
      </c>
      <c r="AZ121" s="81">
        <f t="shared" si="232"/>
        <v>0</v>
      </c>
      <c r="BA121" s="82">
        <f t="shared" si="232"/>
        <v>0</v>
      </c>
      <c r="BB121" s="39" t="str">
        <f t="shared" si="24"/>
        <v>Liste 1</v>
      </c>
      <c r="BC121" s="39"/>
      <c r="BD121" s="39"/>
      <c r="BE121" s="39"/>
      <c r="BF121" s="39"/>
      <c r="BG121" s="39"/>
      <c r="BH121" s="39"/>
      <c r="BI121" s="39"/>
      <c r="BJ121" s="39"/>
      <c r="BK121" s="39"/>
      <c r="BL121" s="39"/>
      <c r="BM121" s="39"/>
    </row>
    <row r="122" spans="1:65" ht="16" x14ac:dyDescent="0.2">
      <c r="A122" s="77">
        <v>106</v>
      </c>
      <c r="B122" s="78">
        <f t="shared" ref="B122:R122" si="233">B$12/(AK121+1)</f>
        <v>0.38</v>
      </c>
      <c r="C122" s="78">
        <f t="shared" si="233"/>
        <v>0.38596491228070173</v>
      </c>
      <c r="D122" s="78">
        <f t="shared" si="233"/>
        <v>0</v>
      </c>
      <c r="E122" s="78">
        <f t="shared" si="233"/>
        <v>0</v>
      </c>
      <c r="F122" s="78">
        <f t="shared" si="233"/>
        <v>0</v>
      </c>
      <c r="G122" s="78">
        <f t="shared" si="233"/>
        <v>0</v>
      </c>
      <c r="H122" s="78">
        <f t="shared" si="233"/>
        <v>0</v>
      </c>
      <c r="I122" s="78">
        <f t="shared" si="233"/>
        <v>0</v>
      </c>
      <c r="J122" s="78">
        <f t="shared" si="233"/>
        <v>0</v>
      </c>
      <c r="K122" s="78">
        <f t="shared" si="233"/>
        <v>0</v>
      </c>
      <c r="L122" s="78">
        <f t="shared" si="233"/>
        <v>0</v>
      </c>
      <c r="M122" s="78">
        <f t="shared" si="233"/>
        <v>0</v>
      </c>
      <c r="N122" s="78">
        <f t="shared" si="233"/>
        <v>0</v>
      </c>
      <c r="O122" s="78">
        <f t="shared" si="233"/>
        <v>0</v>
      </c>
      <c r="P122" s="78">
        <f t="shared" si="233"/>
        <v>0</v>
      </c>
      <c r="Q122" s="78">
        <f t="shared" si="233"/>
        <v>0</v>
      </c>
      <c r="R122" s="79">
        <f t="shared" si="233"/>
        <v>0</v>
      </c>
      <c r="S122" s="79">
        <f t="shared" si="5"/>
        <v>0.38596491228070173</v>
      </c>
      <c r="T122" s="80">
        <f t="shared" si="6"/>
        <v>0</v>
      </c>
      <c r="U122" s="80">
        <f t="shared" si="7"/>
        <v>1</v>
      </c>
      <c r="V122" s="80">
        <f t="shared" si="8"/>
        <v>0</v>
      </c>
      <c r="W122" s="80">
        <f t="shared" si="9"/>
        <v>0</v>
      </c>
      <c r="X122" s="80">
        <f t="shared" si="10"/>
        <v>0</v>
      </c>
      <c r="Y122" s="80">
        <f t="shared" si="11"/>
        <v>0</v>
      </c>
      <c r="Z122" s="80">
        <f t="shared" si="12"/>
        <v>0</v>
      </c>
      <c r="AA122" s="80">
        <f t="shared" si="13"/>
        <v>0</v>
      </c>
      <c r="AB122" s="80">
        <f t="shared" si="14"/>
        <v>0</v>
      </c>
      <c r="AC122" s="80">
        <f t="shared" si="15"/>
        <v>0</v>
      </c>
      <c r="AD122" s="80">
        <f t="shared" si="16"/>
        <v>0</v>
      </c>
      <c r="AE122" s="80">
        <f t="shared" si="17"/>
        <v>0</v>
      </c>
      <c r="AF122" s="80">
        <f t="shared" si="18"/>
        <v>0</v>
      </c>
      <c r="AG122" s="80">
        <f t="shared" si="19"/>
        <v>0</v>
      </c>
      <c r="AH122" s="80">
        <f t="shared" si="20"/>
        <v>0</v>
      </c>
      <c r="AI122" s="80">
        <f t="shared" si="21"/>
        <v>0</v>
      </c>
      <c r="AJ122" s="80">
        <f t="shared" si="22"/>
        <v>0</v>
      </c>
      <c r="AK122" s="80">
        <f t="shared" ref="AK122:BA122" si="234">T122+AK121</f>
        <v>49</v>
      </c>
      <c r="AL122" s="81">
        <f t="shared" si="234"/>
        <v>57</v>
      </c>
      <c r="AM122" s="81">
        <f t="shared" si="234"/>
        <v>0</v>
      </c>
      <c r="AN122" s="81">
        <f t="shared" si="234"/>
        <v>0</v>
      </c>
      <c r="AO122" s="81">
        <f t="shared" si="234"/>
        <v>0</v>
      </c>
      <c r="AP122" s="81">
        <f t="shared" si="234"/>
        <v>0</v>
      </c>
      <c r="AQ122" s="81">
        <f t="shared" si="234"/>
        <v>0</v>
      </c>
      <c r="AR122" s="81">
        <f t="shared" si="234"/>
        <v>0</v>
      </c>
      <c r="AS122" s="81">
        <f t="shared" si="234"/>
        <v>0</v>
      </c>
      <c r="AT122" s="81">
        <f t="shared" si="234"/>
        <v>0</v>
      </c>
      <c r="AU122" s="81">
        <f t="shared" si="234"/>
        <v>0</v>
      </c>
      <c r="AV122" s="81">
        <f t="shared" si="234"/>
        <v>0</v>
      </c>
      <c r="AW122" s="81">
        <f t="shared" si="234"/>
        <v>0</v>
      </c>
      <c r="AX122" s="81">
        <f t="shared" si="234"/>
        <v>0</v>
      </c>
      <c r="AY122" s="81">
        <f t="shared" si="234"/>
        <v>0</v>
      </c>
      <c r="AZ122" s="81">
        <f t="shared" si="234"/>
        <v>0</v>
      </c>
      <c r="BA122" s="82">
        <f t="shared" si="234"/>
        <v>0</v>
      </c>
      <c r="BB122" s="39" t="str">
        <f t="shared" si="24"/>
        <v>Liste 2</v>
      </c>
      <c r="BC122" s="39"/>
      <c r="BD122" s="39"/>
      <c r="BE122" s="39"/>
      <c r="BF122" s="39"/>
      <c r="BG122" s="39"/>
      <c r="BH122" s="39"/>
      <c r="BI122" s="39"/>
      <c r="BJ122" s="39"/>
      <c r="BK122" s="39"/>
      <c r="BL122" s="39"/>
      <c r="BM122" s="39"/>
    </row>
    <row r="123" spans="1:65" ht="16" x14ac:dyDescent="0.2">
      <c r="A123" s="77">
        <v>107</v>
      </c>
      <c r="B123" s="78">
        <f t="shared" ref="B123:R123" si="235">B$12/(AK122+1)</f>
        <v>0.38</v>
      </c>
      <c r="C123" s="78">
        <f t="shared" si="235"/>
        <v>0.37931034482758619</v>
      </c>
      <c r="D123" s="78">
        <f t="shared" si="235"/>
        <v>0</v>
      </c>
      <c r="E123" s="78">
        <f t="shared" si="235"/>
        <v>0</v>
      </c>
      <c r="F123" s="78">
        <f t="shared" si="235"/>
        <v>0</v>
      </c>
      <c r="G123" s="78">
        <f t="shared" si="235"/>
        <v>0</v>
      </c>
      <c r="H123" s="78">
        <f t="shared" si="235"/>
        <v>0</v>
      </c>
      <c r="I123" s="78">
        <f t="shared" si="235"/>
        <v>0</v>
      </c>
      <c r="J123" s="78">
        <f t="shared" si="235"/>
        <v>0</v>
      </c>
      <c r="K123" s="78">
        <f t="shared" si="235"/>
        <v>0</v>
      </c>
      <c r="L123" s="78">
        <f t="shared" si="235"/>
        <v>0</v>
      </c>
      <c r="M123" s="78">
        <f t="shared" si="235"/>
        <v>0</v>
      </c>
      <c r="N123" s="78">
        <f t="shared" si="235"/>
        <v>0</v>
      </c>
      <c r="O123" s="78">
        <f t="shared" si="235"/>
        <v>0</v>
      </c>
      <c r="P123" s="78">
        <f t="shared" si="235"/>
        <v>0</v>
      </c>
      <c r="Q123" s="78">
        <f t="shared" si="235"/>
        <v>0</v>
      </c>
      <c r="R123" s="79">
        <f t="shared" si="235"/>
        <v>0</v>
      </c>
      <c r="S123" s="79">
        <f t="shared" si="5"/>
        <v>0.38</v>
      </c>
      <c r="T123" s="80">
        <f t="shared" si="6"/>
        <v>1</v>
      </c>
      <c r="U123" s="80">
        <f t="shared" si="7"/>
        <v>0</v>
      </c>
      <c r="V123" s="80">
        <f t="shared" si="8"/>
        <v>0</v>
      </c>
      <c r="W123" s="80">
        <f t="shared" si="9"/>
        <v>0</v>
      </c>
      <c r="X123" s="80">
        <f t="shared" si="10"/>
        <v>0</v>
      </c>
      <c r="Y123" s="80">
        <f t="shared" si="11"/>
        <v>0</v>
      </c>
      <c r="Z123" s="80">
        <f t="shared" si="12"/>
        <v>0</v>
      </c>
      <c r="AA123" s="80">
        <f t="shared" si="13"/>
        <v>0</v>
      </c>
      <c r="AB123" s="80">
        <f t="shared" si="14"/>
        <v>0</v>
      </c>
      <c r="AC123" s="80">
        <f t="shared" si="15"/>
        <v>0</v>
      </c>
      <c r="AD123" s="80">
        <f t="shared" si="16"/>
        <v>0</v>
      </c>
      <c r="AE123" s="80">
        <f t="shared" si="17"/>
        <v>0</v>
      </c>
      <c r="AF123" s="80">
        <f t="shared" si="18"/>
        <v>0</v>
      </c>
      <c r="AG123" s="80">
        <f t="shared" si="19"/>
        <v>0</v>
      </c>
      <c r="AH123" s="80">
        <f t="shared" si="20"/>
        <v>0</v>
      </c>
      <c r="AI123" s="80">
        <f t="shared" si="21"/>
        <v>0</v>
      </c>
      <c r="AJ123" s="80">
        <f t="shared" si="22"/>
        <v>0</v>
      </c>
      <c r="AK123" s="80">
        <f t="shared" ref="AK123:BA123" si="236">T123+AK122</f>
        <v>50</v>
      </c>
      <c r="AL123" s="81">
        <f t="shared" si="236"/>
        <v>57</v>
      </c>
      <c r="AM123" s="81">
        <f t="shared" si="236"/>
        <v>0</v>
      </c>
      <c r="AN123" s="81">
        <f t="shared" si="236"/>
        <v>0</v>
      </c>
      <c r="AO123" s="81">
        <f t="shared" si="236"/>
        <v>0</v>
      </c>
      <c r="AP123" s="81">
        <f t="shared" si="236"/>
        <v>0</v>
      </c>
      <c r="AQ123" s="81">
        <f t="shared" si="236"/>
        <v>0</v>
      </c>
      <c r="AR123" s="81">
        <f t="shared" si="236"/>
        <v>0</v>
      </c>
      <c r="AS123" s="81">
        <f t="shared" si="236"/>
        <v>0</v>
      </c>
      <c r="AT123" s="81">
        <f t="shared" si="236"/>
        <v>0</v>
      </c>
      <c r="AU123" s="81">
        <f t="shared" si="236"/>
        <v>0</v>
      </c>
      <c r="AV123" s="81">
        <f t="shared" si="236"/>
        <v>0</v>
      </c>
      <c r="AW123" s="81">
        <f t="shared" si="236"/>
        <v>0</v>
      </c>
      <c r="AX123" s="81">
        <f t="shared" si="236"/>
        <v>0</v>
      </c>
      <c r="AY123" s="81">
        <f t="shared" si="236"/>
        <v>0</v>
      </c>
      <c r="AZ123" s="81">
        <f t="shared" si="236"/>
        <v>0</v>
      </c>
      <c r="BA123" s="82">
        <f t="shared" si="236"/>
        <v>0</v>
      </c>
      <c r="BB123" s="39" t="str">
        <f t="shared" si="24"/>
        <v>Liste 1</v>
      </c>
      <c r="BC123" s="39"/>
      <c r="BD123" s="39"/>
      <c r="BE123" s="39"/>
      <c r="BF123" s="39"/>
      <c r="BG123" s="39"/>
      <c r="BH123" s="39"/>
      <c r="BI123" s="39"/>
      <c r="BJ123" s="39"/>
      <c r="BK123" s="39"/>
      <c r="BL123" s="39"/>
      <c r="BM123" s="39"/>
    </row>
    <row r="124" spans="1:65" ht="16" x14ac:dyDescent="0.2">
      <c r="A124" s="77">
        <v>108</v>
      </c>
      <c r="B124" s="78">
        <f t="shared" ref="B124:R124" si="237">B$12/(AK123+1)</f>
        <v>0.37254901960784315</v>
      </c>
      <c r="C124" s="78">
        <f t="shared" si="237"/>
        <v>0.37931034482758619</v>
      </c>
      <c r="D124" s="78">
        <f t="shared" si="237"/>
        <v>0</v>
      </c>
      <c r="E124" s="78">
        <f t="shared" si="237"/>
        <v>0</v>
      </c>
      <c r="F124" s="78">
        <f t="shared" si="237"/>
        <v>0</v>
      </c>
      <c r="G124" s="78">
        <f t="shared" si="237"/>
        <v>0</v>
      </c>
      <c r="H124" s="78">
        <f t="shared" si="237"/>
        <v>0</v>
      </c>
      <c r="I124" s="78">
        <f t="shared" si="237"/>
        <v>0</v>
      </c>
      <c r="J124" s="78">
        <f t="shared" si="237"/>
        <v>0</v>
      </c>
      <c r="K124" s="78">
        <f t="shared" si="237"/>
        <v>0</v>
      </c>
      <c r="L124" s="78">
        <f t="shared" si="237"/>
        <v>0</v>
      </c>
      <c r="M124" s="78">
        <f t="shared" si="237"/>
        <v>0</v>
      </c>
      <c r="N124" s="78">
        <f t="shared" si="237"/>
        <v>0</v>
      </c>
      <c r="O124" s="78">
        <f t="shared" si="237"/>
        <v>0</v>
      </c>
      <c r="P124" s="78">
        <f t="shared" si="237"/>
        <v>0</v>
      </c>
      <c r="Q124" s="78">
        <f t="shared" si="237"/>
        <v>0</v>
      </c>
      <c r="R124" s="79">
        <f t="shared" si="237"/>
        <v>0</v>
      </c>
      <c r="S124" s="79">
        <f t="shared" si="5"/>
        <v>0.37931034482758619</v>
      </c>
      <c r="T124" s="80">
        <f t="shared" si="6"/>
        <v>0</v>
      </c>
      <c r="U124" s="80">
        <f t="shared" si="7"/>
        <v>1</v>
      </c>
      <c r="V124" s="80">
        <f t="shared" si="8"/>
        <v>0</v>
      </c>
      <c r="W124" s="80">
        <f t="shared" si="9"/>
        <v>0</v>
      </c>
      <c r="X124" s="80">
        <f t="shared" si="10"/>
        <v>0</v>
      </c>
      <c r="Y124" s="80">
        <f t="shared" si="11"/>
        <v>0</v>
      </c>
      <c r="Z124" s="80">
        <f t="shared" si="12"/>
        <v>0</v>
      </c>
      <c r="AA124" s="80">
        <f t="shared" si="13"/>
        <v>0</v>
      </c>
      <c r="AB124" s="80">
        <f t="shared" si="14"/>
        <v>0</v>
      </c>
      <c r="AC124" s="80">
        <f t="shared" si="15"/>
        <v>0</v>
      </c>
      <c r="AD124" s="80">
        <f t="shared" si="16"/>
        <v>0</v>
      </c>
      <c r="AE124" s="80">
        <f t="shared" si="17"/>
        <v>0</v>
      </c>
      <c r="AF124" s="80">
        <f t="shared" si="18"/>
        <v>0</v>
      </c>
      <c r="AG124" s="80">
        <f t="shared" si="19"/>
        <v>0</v>
      </c>
      <c r="AH124" s="80">
        <f t="shared" si="20"/>
        <v>0</v>
      </c>
      <c r="AI124" s="80">
        <f t="shared" si="21"/>
        <v>0</v>
      </c>
      <c r="AJ124" s="80">
        <f t="shared" si="22"/>
        <v>0</v>
      </c>
      <c r="AK124" s="80">
        <f t="shared" ref="AK124:BA124" si="238">T124+AK123</f>
        <v>50</v>
      </c>
      <c r="AL124" s="81">
        <f t="shared" si="238"/>
        <v>58</v>
      </c>
      <c r="AM124" s="81">
        <f t="shared" si="238"/>
        <v>0</v>
      </c>
      <c r="AN124" s="81">
        <f t="shared" si="238"/>
        <v>0</v>
      </c>
      <c r="AO124" s="81">
        <f t="shared" si="238"/>
        <v>0</v>
      </c>
      <c r="AP124" s="81">
        <f t="shared" si="238"/>
        <v>0</v>
      </c>
      <c r="AQ124" s="81">
        <f t="shared" si="238"/>
        <v>0</v>
      </c>
      <c r="AR124" s="81">
        <f t="shared" si="238"/>
        <v>0</v>
      </c>
      <c r="AS124" s="81">
        <f t="shared" si="238"/>
        <v>0</v>
      </c>
      <c r="AT124" s="81">
        <f t="shared" si="238"/>
        <v>0</v>
      </c>
      <c r="AU124" s="81">
        <f t="shared" si="238"/>
        <v>0</v>
      </c>
      <c r="AV124" s="81">
        <f t="shared" si="238"/>
        <v>0</v>
      </c>
      <c r="AW124" s="81">
        <f t="shared" si="238"/>
        <v>0</v>
      </c>
      <c r="AX124" s="81">
        <f t="shared" si="238"/>
        <v>0</v>
      </c>
      <c r="AY124" s="81">
        <f t="shared" si="238"/>
        <v>0</v>
      </c>
      <c r="AZ124" s="81">
        <f t="shared" si="238"/>
        <v>0</v>
      </c>
      <c r="BA124" s="82">
        <f t="shared" si="238"/>
        <v>0</v>
      </c>
      <c r="BB124" s="39" t="str">
        <f t="shared" si="24"/>
        <v>Liste 2</v>
      </c>
      <c r="BC124" s="39"/>
      <c r="BD124" s="39"/>
      <c r="BE124" s="39"/>
      <c r="BF124" s="39"/>
      <c r="BG124" s="39"/>
      <c r="BH124" s="39"/>
      <c r="BI124" s="39"/>
      <c r="BJ124" s="39"/>
      <c r="BK124" s="39"/>
      <c r="BL124" s="39"/>
      <c r="BM124" s="39"/>
    </row>
    <row r="125" spans="1:65" ht="16" x14ac:dyDescent="0.2">
      <c r="A125" s="77">
        <v>109</v>
      </c>
      <c r="B125" s="78">
        <f t="shared" ref="B125:R125" si="239">B$12/(AK124+1)</f>
        <v>0.37254901960784315</v>
      </c>
      <c r="C125" s="78">
        <f t="shared" si="239"/>
        <v>0.3728813559322034</v>
      </c>
      <c r="D125" s="78">
        <f t="shared" si="239"/>
        <v>0</v>
      </c>
      <c r="E125" s="78">
        <f t="shared" si="239"/>
        <v>0</v>
      </c>
      <c r="F125" s="78">
        <f t="shared" si="239"/>
        <v>0</v>
      </c>
      <c r="G125" s="78">
        <f t="shared" si="239"/>
        <v>0</v>
      </c>
      <c r="H125" s="78">
        <f t="shared" si="239"/>
        <v>0</v>
      </c>
      <c r="I125" s="78">
        <f t="shared" si="239"/>
        <v>0</v>
      </c>
      <c r="J125" s="78">
        <f t="shared" si="239"/>
        <v>0</v>
      </c>
      <c r="K125" s="78">
        <f t="shared" si="239"/>
        <v>0</v>
      </c>
      <c r="L125" s="78">
        <f t="shared" si="239"/>
        <v>0</v>
      </c>
      <c r="M125" s="78">
        <f t="shared" si="239"/>
        <v>0</v>
      </c>
      <c r="N125" s="78">
        <f t="shared" si="239"/>
        <v>0</v>
      </c>
      <c r="O125" s="78">
        <f t="shared" si="239"/>
        <v>0</v>
      </c>
      <c r="P125" s="78">
        <f t="shared" si="239"/>
        <v>0</v>
      </c>
      <c r="Q125" s="78">
        <f t="shared" si="239"/>
        <v>0</v>
      </c>
      <c r="R125" s="79">
        <f t="shared" si="239"/>
        <v>0</v>
      </c>
      <c r="S125" s="79">
        <f t="shared" si="5"/>
        <v>0.3728813559322034</v>
      </c>
      <c r="T125" s="80">
        <f t="shared" si="6"/>
        <v>0</v>
      </c>
      <c r="U125" s="80">
        <f t="shared" si="7"/>
        <v>1</v>
      </c>
      <c r="V125" s="80">
        <f t="shared" si="8"/>
        <v>0</v>
      </c>
      <c r="W125" s="80">
        <f t="shared" si="9"/>
        <v>0</v>
      </c>
      <c r="X125" s="80">
        <f t="shared" si="10"/>
        <v>0</v>
      </c>
      <c r="Y125" s="80">
        <f t="shared" si="11"/>
        <v>0</v>
      </c>
      <c r="Z125" s="80">
        <f t="shared" si="12"/>
        <v>0</v>
      </c>
      <c r="AA125" s="80">
        <f t="shared" si="13"/>
        <v>0</v>
      </c>
      <c r="AB125" s="80">
        <f t="shared" si="14"/>
        <v>0</v>
      </c>
      <c r="AC125" s="80">
        <f t="shared" si="15"/>
        <v>0</v>
      </c>
      <c r="AD125" s="80">
        <f t="shared" si="16"/>
        <v>0</v>
      </c>
      <c r="AE125" s="80">
        <f t="shared" si="17"/>
        <v>0</v>
      </c>
      <c r="AF125" s="80">
        <f t="shared" si="18"/>
        <v>0</v>
      </c>
      <c r="AG125" s="80">
        <f t="shared" si="19"/>
        <v>0</v>
      </c>
      <c r="AH125" s="80">
        <f t="shared" si="20"/>
        <v>0</v>
      </c>
      <c r="AI125" s="80">
        <f t="shared" si="21"/>
        <v>0</v>
      </c>
      <c r="AJ125" s="80">
        <f t="shared" si="22"/>
        <v>0</v>
      </c>
      <c r="AK125" s="80">
        <f t="shared" ref="AK125:BA125" si="240">T125+AK124</f>
        <v>50</v>
      </c>
      <c r="AL125" s="81">
        <f t="shared" si="240"/>
        <v>59</v>
      </c>
      <c r="AM125" s="81">
        <f t="shared" si="240"/>
        <v>0</v>
      </c>
      <c r="AN125" s="81">
        <f t="shared" si="240"/>
        <v>0</v>
      </c>
      <c r="AO125" s="81">
        <f t="shared" si="240"/>
        <v>0</v>
      </c>
      <c r="AP125" s="81">
        <f t="shared" si="240"/>
        <v>0</v>
      </c>
      <c r="AQ125" s="81">
        <f t="shared" si="240"/>
        <v>0</v>
      </c>
      <c r="AR125" s="81">
        <f t="shared" si="240"/>
        <v>0</v>
      </c>
      <c r="AS125" s="81">
        <f t="shared" si="240"/>
        <v>0</v>
      </c>
      <c r="AT125" s="81">
        <f t="shared" si="240"/>
        <v>0</v>
      </c>
      <c r="AU125" s="81">
        <f t="shared" si="240"/>
        <v>0</v>
      </c>
      <c r="AV125" s="81">
        <f t="shared" si="240"/>
        <v>0</v>
      </c>
      <c r="AW125" s="81">
        <f t="shared" si="240"/>
        <v>0</v>
      </c>
      <c r="AX125" s="81">
        <f t="shared" si="240"/>
        <v>0</v>
      </c>
      <c r="AY125" s="81">
        <f t="shared" si="240"/>
        <v>0</v>
      </c>
      <c r="AZ125" s="81">
        <f t="shared" si="240"/>
        <v>0</v>
      </c>
      <c r="BA125" s="82">
        <f t="shared" si="240"/>
        <v>0</v>
      </c>
      <c r="BB125" s="39" t="str">
        <f t="shared" si="24"/>
        <v>Liste 2</v>
      </c>
      <c r="BC125" s="39"/>
      <c r="BD125" s="39"/>
      <c r="BE125" s="39"/>
      <c r="BF125" s="39"/>
      <c r="BG125" s="39"/>
      <c r="BH125" s="39"/>
      <c r="BI125" s="39"/>
      <c r="BJ125" s="39"/>
      <c r="BK125" s="39"/>
      <c r="BL125" s="39"/>
      <c r="BM125" s="39"/>
    </row>
    <row r="126" spans="1:65" ht="16" x14ac:dyDescent="0.2">
      <c r="A126" s="77">
        <v>110</v>
      </c>
      <c r="B126" s="78">
        <f t="shared" ref="B126:R126" si="241">B$12/(AK125+1)</f>
        <v>0.37254901960784315</v>
      </c>
      <c r="C126" s="78">
        <f t="shared" si="241"/>
        <v>0.36666666666666664</v>
      </c>
      <c r="D126" s="78">
        <f t="shared" si="241"/>
        <v>0</v>
      </c>
      <c r="E126" s="78">
        <f t="shared" si="241"/>
        <v>0</v>
      </c>
      <c r="F126" s="78">
        <f t="shared" si="241"/>
        <v>0</v>
      </c>
      <c r="G126" s="78">
        <f t="shared" si="241"/>
        <v>0</v>
      </c>
      <c r="H126" s="78">
        <f t="shared" si="241"/>
        <v>0</v>
      </c>
      <c r="I126" s="78">
        <f t="shared" si="241"/>
        <v>0</v>
      </c>
      <c r="J126" s="78">
        <f t="shared" si="241"/>
        <v>0</v>
      </c>
      <c r="K126" s="78">
        <f t="shared" si="241"/>
        <v>0</v>
      </c>
      <c r="L126" s="78">
        <f t="shared" si="241"/>
        <v>0</v>
      </c>
      <c r="M126" s="78">
        <f t="shared" si="241"/>
        <v>0</v>
      </c>
      <c r="N126" s="78">
        <f t="shared" si="241"/>
        <v>0</v>
      </c>
      <c r="O126" s="78">
        <f t="shared" si="241"/>
        <v>0</v>
      </c>
      <c r="P126" s="78">
        <f t="shared" si="241"/>
        <v>0</v>
      </c>
      <c r="Q126" s="78">
        <f t="shared" si="241"/>
        <v>0</v>
      </c>
      <c r="R126" s="79">
        <f t="shared" si="241"/>
        <v>0</v>
      </c>
      <c r="S126" s="79">
        <f t="shared" si="5"/>
        <v>0.37254901960784315</v>
      </c>
      <c r="T126" s="80">
        <f t="shared" si="6"/>
        <v>1</v>
      </c>
      <c r="U126" s="80">
        <f t="shared" si="7"/>
        <v>0</v>
      </c>
      <c r="V126" s="80">
        <f t="shared" si="8"/>
        <v>0</v>
      </c>
      <c r="W126" s="80">
        <f t="shared" si="9"/>
        <v>0</v>
      </c>
      <c r="X126" s="80">
        <f t="shared" si="10"/>
        <v>0</v>
      </c>
      <c r="Y126" s="80">
        <f t="shared" si="11"/>
        <v>0</v>
      </c>
      <c r="Z126" s="80">
        <f t="shared" si="12"/>
        <v>0</v>
      </c>
      <c r="AA126" s="80">
        <f t="shared" si="13"/>
        <v>0</v>
      </c>
      <c r="AB126" s="80">
        <f t="shared" si="14"/>
        <v>0</v>
      </c>
      <c r="AC126" s="80">
        <f t="shared" si="15"/>
        <v>0</v>
      </c>
      <c r="AD126" s="80">
        <f t="shared" si="16"/>
        <v>0</v>
      </c>
      <c r="AE126" s="80">
        <f t="shared" si="17"/>
        <v>0</v>
      </c>
      <c r="AF126" s="80">
        <f t="shared" si="18"/>
        <v>0</v>
      </c>
      <c r="AG126" s="80">
        <f t="shared" si="19"/>
        <v>0</v>
      </c>
      <c r="AH126" s="80">
        <f t="shared" si="20"/>
        <v>0</v>
      </c>
      <c r="AI126" s="80">
        <f t="shared" si="21"/>
        <v>0</v>
      </c>
      <c r="AJ126" s="80">
        <f t="shared" si="22"/>
        <v>0</v>
      </c>
      <c r="AK126" s="80">
        <f t="shared" ref="AK126:BA126" si="242">T126+AK125</f>
        <v>51</v>
      </c>
      <c r="AL126" s="81">
        <f t="shared" si="242"/>
        <v>59</v>
      </c>
      <c r="AM126" s="81">
        <f t="shared" si="242"/>
        <v>0</v>
      </c>
      <c r="AN126" s="81">
        <f t="shared" si="242"/>
        <v>0</v>
      </c>
      <c r="AO126" s="81">
        <f t="shared" si="242"/>
        <v>0</v>
      </c>
      <c r="AP126" s="81">
        <f t="shared" si="242"/>
        <v>0</v>
      </c>
      <c r="AQ126" s="81">
        <f t="shared" si="242"/>
        <v>0</v>
      </c>
      <c r="AR126" s="81">
        <f t="shared" si="242"/>
        <v>0</v>
      </c>
      <c r="AS126" s="81">
        <f t="shared" si="242"/>
        <v>0</v>
      </c>
      <c r="AT126" s="81">
        <f t="shared" si="242"/>
        <v>0</v>
      </c>
      <c r="AU126" s="81">
        <f t="shared" si="242"/>
        <v>0</v>
      </c>
      <c r="AV126" s="81">
        <f t="shared" si="242"/>
        <v>0</v>
      </c>
      <c r="AW126" s="81">
        <f t="shared" si="242"/>
        <v>0</v>
      </c>
      <c r="AX126" s="81">
        <f t="shared" si="242"/>
        <v>0</v>
      </c>
      <c r="AY126" s="81">
        <f t="shared" si="242"/>
        <v>0</v>
      </c>
      <c r="AZ126" s="81">
        <f t="shared" si="242"/>
        <v>0</v>
      </c>
      <c r="BA126" s="82">
        <f t="shared" si="242"/>
        <v>0</v>
      </c>
      <c r="BB126" s="39" t="str">
        <f t="shared" si="24"/>
        <v>Liste 1</v>
      </c>
      <c r="BC126" s="39"/>
      <c r="BD126" s="39"/>
      <c r="BE126" s="39"/>
      <c r="BF126" s="39"/>
      <c r="BG126" s="39"/>
      <c r="BH126" s="39"/>
      <c r="BI126" s="39"/>
      <c r="BJ126" s="39"/>
      <c r="BK126" s="39"/>
      <c r="BL126" s="39"/>
      <c r="BM126" s="39"/>
    </row>
    <row r="127" spans="1:65" ht="16" x14ac:dyDescent="0.2">
      <c r="A127" s="77">
        <v>111</v>
      </c>
      <c r="B127" s="78">
        <f t="shared" ref="B127:R127" si="243">B$12/(AK126+1)</f>
        <v>0.36538461538461536</v>
      </c>
      <c r="C127" s="78">
        <f t="shared" si="243"/>
        <v>0.36666666666666664</v>
      </c>
      <c r="D127" s="78">
        <f t="shared" si="243"/>
        <v>0</v>
      </c>
      <c r="E127" s="78">
        <f t="shared" si="243"/>
        <v>0</v>
      </c>
      <c r="F127" s="78">
        <f t="shared" si="243"/>
        <v>0</v>
      </c>
      <c r="G127" s="78">
        <f t="shared" si="243"/>
        <v>0</v>
      </c>
      <c r="H127" s="78">
        <f t="shared" si="243"/>
        <v>0</v>
      </c>
      <c r="I127" s="78">
        <f t="shared" si="243"/>
        <v>0</v>
      </c>
      <c r="J127" s="78">
        <f t="shared" si="243"/>
        <v>0</v>
      </c>
      <c r="K127" s="78">
        <f t="shared" si="243"/>
        <v>0</v>
      </c>
      <c r="L127" s="78">
        <f t="shared" si="243"/>
        <v>0</v>
      </c>
      <c r="M127" s="78">
        <f t="shared" si="243"/>
        <v>0</v>
      </c>
      <c r="N127" s="78">
        <f t="shared" si="243"/>
        <v>0</v>
      </c>
      <c r="O127" s="78">
        <f t="shared" si="243"/>
        <v>0</v>
      </c>
      <c r="P127" s="78">
        <f t="shared" si="243"/>
        <v>0</v>
      </c>
      <c r="Q127" s="78">
        <f t="shared" si="243"/>
        <v>0</v>
      </c>
      <c r="R127" s="79">
        <f t="shared" si="243"/>
        <v>0</v>
      </c>
      <c r="S127" s="79">
        <f t="shared" si="5"/>
        <v>0.36666666666666664</v>
      </c>
      <c r="T127" s="80">
        <f t="shared" si="6"/>
        <v>0</v>
      </c>
      <c r="U127" s="80">
        <f t="shared" si="7"/>
        <v>1</v>
      </c>
      <c r="V127" s="80">
        <f t="shared" si="8"/>
        <v>0</v>
      </c>
      <c r="W127" s="80">
        <f t="shared" si="9"/>
        <v>0</v>
      </c>
      <c r="X127" s="80">
        <f t="shared" si="10"/>
        <v>0</v>
      </c>
      <c r="Y127" s="80">
        <f t="shared" si="11"/>
        <v>0</v>
      </c>
      <c r="Z127" s="80">
        <f t="shared" si="12"/>
        <v>0</v>
      </c>
      <c r="AA127" s="80">
        <f t="shared" si="13"/>
        <v>0</v>
      </c>
      <c r="AB127" s="80">
        <f t="shared" si="14"/>
        <v>0</v>
      </c>
      <c r="AC127" s="80">
        <f t="shared" si="15"/>
        <v>0</v>
      </c>
      <c r="AD127" s="80">
        <f t="shared" si="16"/>
        <v>0</v>
      </c>
      <c r="AE127" s="80">
        <f t="shared" si="17"/>
        <v>0</v>
      </c>
      <c r="AF127" s="80">
        <f t="shared" si="18"/>
        <v>0</v>
      </c>
      <c r="AG127" s="80">
        <f t="shared" si="19"/>
        <v>0</v>
      </c>
      <c r="AH127" s="80">
        <f t="shared" si="20"/>
        <v>0</v>
      </c>
      <c r="AI127" s="80">
        <f t="shared" si="21"/>
        <v>0</v>
      </c>
      <c r="AJ127" s="80">
        <f t="shared" si="22"/>
        <v>0</v>
      </c>
      <c r="AK127" s="80">
        <f t="shared" ref="AK127:BA127" si="244">T127+AK126</f>
        <v>51</v>
      </c>
      <c r="AL127" s="81">
        <f t="shared" si="244"/>
        <v>60</v>
      </c>
      <c r="AM127" s="81">
        <f t="shared" si="244"/>
        <v>0</v>
      </c>
      <c r="AN127" s="81">
        <f t="shared" si="244"/>
        <v>0</v>
      </c>
      <c r="AO127" s="81">
        <f t="shared" si="244"/>
        <v>0</v>
      </c>
      <c r="AP127" s="81">
        <f t="shared" si="244"/>
        <v>0</v>
      </c>
      <c r="AQ127" s="81">
        <f t="shared" si="244"/>
        <v>0</v>
      </c>
      <c r="AR127" s="81">
        <f t="shared" si="244"/>
        <v>0</v>
      </c>
      <c r="AS127" s="81">
        <f t="shared" si="244"/>
        <v>0</v>
      </c>
      <c r="AT127" s="81">
        <f t="shared" si="244"/>
        <v>0</v>
      </c>
      <c r="AU127" s="81">
        <f t="shared" si="244"/>
        <v>0</v>
      </c>
      <c r="AV127" s="81">
        <f t="shared" si="244"/>
        <v>0</v>
      </c>
      <c r="AW127" s="81">
        <f t="shared" si="244"/>
        <v>0</v>
      </c>
      <c r="AX127" s="81">
        <f t="shared" si="244"/>
        <v>0</v>
      </c>
      <c r="AY127" s="81">
        <f t="shared" si="244"/>
        <v>0</v>
      </c>
      <c r="AZ127" s="81">
        <f t="shared" si="244"/>
        <v>0</v>
      </c>
      <c r="BA127" s="82">
        <f t="shared" si="244"/>
        <v>0</v>
      </c>
      <c r="BB127" s="39" t="str">
        <f t="shared" si="24"/>
        <v>Liste 2</v>
      </c>
      <c r="BC127" s="39"/>
      <c r="BD127" s="39"/>
      <c r="BE127" s="39"/>
      <c r="BF127" s="39"/>
      <c r="BG127" s="39"/>
      <c r="BH127" s="39"/>
      <c r="BI127" s="39"/>
      <c r="BJ127" s="39"/>
      <c r="BK127" s="39"/>
      <c r="BL127" s="39"/>
      <c r="BM127" s="39"/>
    </row>
    <row r="128" spans="1:65" ht="16" x14ac:dyDescent="0.2">
      <c r="A128" s="77">
        <v>112</v>
      </c>
      <c r="B128" s="78">
        <f t="shared" ref="B128:R128" si="245">B$12/(AK127+1)</f>
        <v>0.36538461538461536</v>
      </c>
      <c r="C128" s="78">
        <f t="shared" si="245"/>
        <v>0.36065573770491804</v>
      </c>
      <c r="D128" s="78">
        <f t="shared" si="245"/>
        <v>0</v>
      </c>
      <c r="E128" s="78">
        <f t="shared" si="245"/>
        <v>0</v>
      </c>
      <c r="F128" s="78">
        <f t="shared" si="245"/>
        <v>0</v>
      </c>
      <c r="G128" s="78">
        <f t="shared" si="245"/>
        <v>0</v>
      </c>
      <c r="H128" s="78">
        <f t="shared" si="245"/>
        <v>0</v>
      </c>
      <c r="I128" s="78">
        <f t="shared" si="245"/>
        <v>0</v>
      </c>
      <c r="J128" s="78">
        <f t="shared" si="245"/>
        <v>0</v>
      </c>
      <c r="K128" s="78">
        <f t="shared" si="245"/>
        <v>0</v>
      </c>
      <c r="L128" s="78">
        <f t="shared" si="245"/>
        <v>0</v>
      </c>
      <c r="M128" s="78">
        <f t="shared" si="245"/>
        <v>0</v>
      </c>
      <c r="N128" s="78">
        <f t="shared" si="245"/>
        <v>0</v>
      </c>
      <c r="O128" s="78">
        <f t="shared" si="245"/>
        <v>0</v>
      </c>
      <c r="P128" s="78">
        <f t="shared" si="245"/>
        <v>0</v>
      </c>
      <c r="Q128" s="78">
        <f t="shared" si="245"/>
        <v>0</v>
      </c>
      <c r="R128" s="79">
        <f t="shared" si="245"/>
        <v>0</v>
      </c>
      <c r="S128" s="79">
        <f t="shared" si="5"/>
        <v>0.36538461538461536</v>
      </c>
      <c r="T128" s="80">
        <f t="shared" si="6"/>
        <v>1</v>
      </c>
      <c r="U128" s="80">
        <f t="shared" si="7"/>
        <v>0</v>
      </c>
      <c r="V128" s="80">
        <f t="shared" si="8"/>
        <v>0</v>
      </c>
      <c r="W128" s="80">
        <f t="shared" si="9"/>
        <v>0</v>
      </c>
      <c r="X128" s="80">
        <f t="shared" si="10"/>
        <v>0</v>
      </c>
      <c r="Y128" s="80">
        <f t="shared" si="11"/>
        <v>0</v>
      </c>
      <c r="Z128" s="80">
        <f t="shared" si="12"/>
        <v>0</v>
      </c>
      <c r="AA128" s="80">
        <f t="shared" si="13"/>
        <v>0</v>
      </c>
      <c r="AB128" s="80">
        <f t="shared" si="14"/>
        <v>0</v>
      </c>
      <c r="AC128" s="80">
        <f t="shared" si="15"/>
        <v>0</v>
      </c>
      <c r="AD128" s="80">
        <f t="shared" si="16"/>
        <v>0</v>
      </c>
      <c r="AE128" s="80">
        <f t="shared" si="17"/>
        <v>0</v>
      </c>
      <c r="AF128" s="80">
        <f t="shared" si="18"/>
        <v>0</v>
      </c>
      <c r="AG128" s="80">
        <f t="shared" si="19"/>
        <v>0</v>
      </c>
      <c r="AH128" s="80">
        <f t="shared" si="20"/>
        <v>0</v>
      </c>
      <c r="AI128" s="80">
        <f t="shared" si="21"/>
        <v>0</v>
      </c>
      <c r="AJ128" s="80">
        <f t="shared" si="22"/>
        <v>0</v>
      </c>
      <c r="AK128" s="80">
        <f t="shared" ref="AK128:BA128" si="246">T128+AK127</f>
        <v>52</v>
      </c>
      <c r="AL128" s="81">
        <f t="shared" si="246"/>
        <v>60</v>
      </c>
      <c r="AM128" s="81">
        <f t="shared" si="246"/>
        <v>0</v>
      </c>
      <c r="AN128" s="81">
        <f t="shared" si="246"/>
        <v>0</v>
      </c>
      <c r="AO128" s="81">
        <f t="shared" si="246"/>
        <v>0</v>
      </c>
      <c r="AP128" s="81">
        <f t="shared" si="246"/>
        <v>0</v>
      </c>
      <c r="AQ128" s="81">
        <f t="shared" si="246"/>
        <v>0</v>
      </c>
      <c r="AR128" s="81">
        <f t="shared" si="246"/>
        <v>0</v>
      </c>
      <c r="AS128" s="81">
        <f t="shared" si="246"/>
        <v>0</v>
      </c>
      <c r="AT128" s="81">
        <f t="shared" si="246"/>
        <v>0</v>
      </c>
      <c r="AU128" s="81">
        <f t="shared" si="246"/>
        <v>0</v>
      </c>
      <c r="AV128" s="81">
        <f t="shared" si="246"/>
        <v>0</v>
      </c>
      <c r="AW128" s="81">
        <f t="shared" si="246"/>
        <v>0</v>
      </c>
      <c r="AX128" s="81">
        <f t="shared" si="246"/>
        <v>0</v>
      </c>
      <c r="AY128" s="81">
        <f t="shared" si="246"/>
        <v>0</v>
      </c>
      <c r="AZ128" s="81">
        <f t="shared" si="246"/>
        <v>0</v>
      </c>
      <c r="BA128" s="82">
        <f t="shared" si="246"/>
        <v>0</v>
      </c>
      <c r="BB128" s="39" t="str">
        <f t="shared" si="24"/>
        <v>Liste 1</v>
      </c>
      <c r="BC128" s="39"/>
      <c r="BD128" s="39"/>
      <c r="BE128" s="39"/>
      <c r="BF128" s="39"/>
      <c r="BG128" s="39"/>
      <c r="BH128" s="39"/>
      <c r="BI128" s="39"/>
      <c r="BJ128" s="39"/>
      <c r="BK128" s="39"/>
      <c r="BL128" s="39"/>
      <c r="BM128" s="39"/>
    </row>
    <row r="129" spans="1:65" ht="16" x14ac:dyDescent="0.2">
      <c r="A129" s="77">
        <v>113</v>
      </c>
      <c r="B129" s="78">
        <f t="shared" ref="B129:R129" si="247">B$12/(AK128+1)</f>
        <v>0.35849056603773582</v>
      </c>
      <c r="C129" s="78">
        <f t="shared" si="247"/>
        <v>0.36065573770491804</v>
      </c>
      <c r="D129" s="78">
        <f t="shared" si="247"/>
        <v>0</v>
      </c>
      <c r="E129" s="78">
        <f t="shared" si="247"/>
        <v>0</v>
      </c>
      <c r="F129" s="78">
        <f t="shared" si="247"/>
        <v>0</v>
      </c>
      <c r="G129" s="78">
        <f t="shared" si="247"/>
        <v>0</v>
      </c>
      <c r="H129" s="78">
        <f t="shared" si="247"/>
        <v>0</v>
      </c>
      <c r="I129" s="78">
        <f t="shared" si="247"/>
        <v>0</v>
      </c>
      <c r="J129" s="78">
        <f t="shared" si="247"/>
        <v>0</v>
      </c>
      <c r="K129" s="78">
        <f t="shared" si="247"/>
        <v>0</v>
      </c>
      <c r="L129" s="78">
        <f t="shared" si="247"/>
        <v>0</v>
      </c>
      <c r="M129" s="78">
        <f t="shared" si="247"/>
        <v>0</v>
      </c>
      <c r="N129" s="78">
        <f t="shared" si="247"/>
        <v>0</v>
      </c>
      <c r="O129" s="78">
        <f t="shared" si="247"/>
        <v>0</v>
      </c>
      <c r="P129" s="78">
        <f t="shared" si="247"/>
        <v>0</v>
      </c>
      <c r="Q129" s="78">
        <f t="shared" si="247"/>
        <v>0</v>
      </c>
      <c r="R129" s="79">
        <f t="shared" si="247"/>
        <v>0</v>
      </c>
      <c r="S129" s="79">
        <f t="shared" si="5"/>
        <v>0.36065573770491804</v>
      </c>
      <c r="T129" s="80">
        <f t="shared" si="6"/>
        <v>0</v>
      </c>
      <c r="U129" s="80">
        <f t="shared" si="7"/>
        <v>1</v>
      </c>
      <c r="V129" s="80">
        <f t="shared" si="8"/>
        <v>0</v>
      </c>
      <c r="W129" s="80">
        <f t="shared" si="9"/>
        <v>0</v>
      </c>
      <c r="X129" s="80">
        <f t="shared" si="10"/>
        <v>0</v>
      </c>
      <c r="Y129" s="80">
        <f t="shared" si="11"/>
        <v>0</v>
      </c>
      <c r="Z129" s="80">
        <f t="shared" si="12"/>
        <v>0</v>
      </c>
      <c r="AA129" s="80">
        <f t="shared" si="13"/>
        <v>0</v>
      </c>
      <c r="AB129" s="80">
        <f t="shared" si="14"/>
        <v>0</v>
      </c>
      <c r="AC129" s="80">
        <f t="shared" si="15"/>
        <v>0</v>
      </c>
      <c r="AD129" s="80">
        <f t="shared" si="16"/>
        <v>0</v>
      </c>
      <c r="AE129" s="80">
        <f t="shared" si="17"/>
        <v>0</v>
      </c>
      <c r="AF129" s="80">
        <f t="shared" si="18"/>
        <v>0</v>
      </c>
      <c r="AG129" s="80">
        <f t="shared" si="19"/>
        <v>0</v>
      </c>
      <c r="AH129" s="80">
        <f t="shared" si="20"/>
        <v>0</v>
      </c>
      <c r="AI129" s="80">
        <f t="shared" si="21"/>
        <v>0</v>
      </c>
      <c r="AJ129" s="80">
        <f t="shared" si="22"/>
        <v>0</v>
      </c>
      <c r="AK129" s="80">
        <f t="shared" ref="AK129:BA129" si="248">T129+AK128</f>
        <v>52</v>
      </c>
      <c r="AL129" s="81">
        <f t="shared" si="248"/>
        <v>61</v>
      </c>
      <c r="AM129" s="81">
        <f t="shared" si="248"/>
        <v>0</v>
      </c>
      <c r="AN129" s="81">
        <f t="shared" si="248"/>
        <v>0</v>
      </c>
      <c r="AO129" s="81">
        <f t="shared" si="248"/>
        <v>0</v>
      </c>
      <c r="AP129" s="81">
        <f t="shared" si="248"/>
        <v>0</v>
      </c>
      <c r="AQ129" s="81">
        <f t="shared" si="248"/>
        <v>0</v>
      </c>
      <c r="AR129" s="81">
        <f t="shared" si="248"/>
        <v>0</v>
      </c>
      <c r="AS129" s="81">
        <f t="shared" si="248"/>
        <v>0</v>
      </c>
      <c r="AT129" s="81">
        <f t="shared" si="248"/>
        <v>0</v>
      </c>
      <c r="AU129" s="81">
        <f t="shared" si="248"/>
        <v>0</v>
      </c>
      <c r="AV129" s="81">
        <f t="shared" si="248"/>
        <v>0</v>
      </c>
      <c r="AW129" s="81">
        <f t="shared" si="248"/>
        <v>0</v>
      </c>
      <c r="AX129" s="81">
        <f t="shared" si="248"/>
        <v>0</v>
      </c>
      <c r="AY129" s="81">
        <f t="shared" si="248"/>
        <v>0</v>
      </c>
      <c r="AZ129" s="81">
        <f t="shared" si="248"/>
        <v>0</v>
      </c>
      <c r="BA129" s="82">
        <f t="shared" si="248"/>
        <v>0</v>
      </c>
      <c r="BB129" s="39" t="str">
        <f t="shared" si="24"/>
        <v>Liste 2</v>
      </c>
      <c r="BC129" s="39"/>
      <c r="BD129" s="39"/>
      <c r="BE129" s="39"/>
      <c r="BF129" s="39"/>
      <c r="BG129" s="39"/>
      <c r="BH129" s="39"/>
      <c r="BI129" s="39"/>
      <c r="BJ129" s="39"/>
      <c r="BK129" s="39"/>
      <c r="BL129" s="39"/>
      <c r="BM129" s="39"/>
    </row>
    <row r="130" spans="1:65" ht="16" x14ac:dyDescent="0.2">
      <c r="A130" s="77">
        <v>114</v>
      </c>
      <c r="B130" s="78">
        <f t="shared" ref="B130:R130" si="249">B$12/(AK129+1)</f>
        <v>0.35849056603773582</v>
      </c>
      <c r="C130" s="78">
        <f t="shared" si="249"/>
        <v>0.35483870967741937</v>
      </c>
      <c r="D130" s="78">
        <f t="shared" si="249"/>
        <v>0</v>
      </c>
      <c r="E130" s="78">
        <f t="shared" si="249"/>
        <v>0</v>
      </c>
      <c r="F130" s="78">
        <f t="shared" si="249"/>
        <v>0</v>
      </c>
      <c r="G130" s="78">
        <f t="shared" si="249"/>
        <v>0</v>
      </c>
      <c r="H130" s="78">
        <f t="shared" si="249"/>
        <v>0</v>
      </c>
      <c r="I130" s="78">
        <f t="shared" si="249"/>
        <v>0</v>
      </c>
      <c r="J130" s="78">
        <f t="shared" si="249"/>
        <v>0</v>
      </c>
      <c r="K130" s="78">
        <f t="shared" si="249"/>
        <v>0</v>
      </c>
      <c r="L130" s="78">
        <f t="shared" si="249"/>
        <v>0</v>
      </c>
      <c r="M130" s="78">
        <f t="shared" si="249"/>
        <v>0</v>
      </c>
      <c r="N130" s="78">
        <f t="shared" si="249"/>
        <v>0</v>
      </c>
      <c r="O130" s="78">
        <f t="shared" si="249"/>
        <v>0</v>
      </c>
      <c r="P130" s="78">
        <f t="shared" si="249"/>
        <v>0</v>
      </c>
      <c r="Q130" s="78">
        <f t="shared" si="249"/>
        <v>0</v>
      </c>
      <c r="R130" s="79">
        <f t="shared" si="249"/>
        <v>0</v>
      </c>
      <c r="S130" s="79">
        <f t="shared" si="5"/>
        <v>0.35849056603773582</v>
      </c>
      <c r="T130" s="80">
        <f t="shared" si="6"/>
        <v>1</v>
      </c>
      <c r="U130" s="80">
        <f t="shared" si="7"/>
        <v>0</v>
      </c>
      <c r="V130" s="80">
        <f t="shared" si="8"/>
        <v>0</v>
      </c>
      <c r="W130" s="80">
        <f t="shared" si="9"/>
        <v>0</v>
      </c>
      <c r="X130" s="80">
        <f t="shared" si="10"/>
        <v>0</v>
      </c>
      <c r="Y130" s="80">
        <f t="shared" si="11"/>
        <v>0</v>
      </c>
      <c r="Z130" s="80">
        <f t="shared" si="12"/>
        <v>0</v>
      </c>
      <c r="AA130" s="80">
        <f t="shared" si="13"/>
        <v>0</v>
      </c>
      <c r="AB130" s="80">
        <f t="shared" si="14"/>
        <v>0</v>
      </c>
      <c r="AC130" s="80">
        <f t="shared" si="15"/>
        <v>0</v>
      </c>
      <c r="AD130" s="80">
        <f t="shared" si="16"/>
        <v>0</v>
      </c>
      <c r="AE130" s="80">
        <f t="shared" si="17"/>
        <v>0</v>
      </c>
      <c r="AF130" s="80">
        <f t="shared" si="18"/>
        <v>0</v>
      </c>
      <c r="AG130" s="80">
        <f t="shared" si="19"/>
        <v>0</v>
      </c>
      <c r="AH130" s="80">
        <f t="shared" si="20"/>
        <v>0</v>
      </c>
      <c r="AI130" s="80">
        <f t="shared" si="21"/>
        <v>0</v>
      </c>
      <c r="AJ130" s="80">
        <f t="shared" si="22"/>
        <v>0</v>
      </c>
      <c r="AK130" s="80">
        <f t="shared" ref="AK130:BA130" si="250">T130+AK129</f>
        <v>53</v>
      </c>
      <c r="AL130" s="81">
        <f t="shared" si="250"/>
        <v>61</v>
      </c>
      <c r="AM130" s="81">
        <f t="shared" si="250"/>
        <v>0</v>
      </c>
      <c r="AN130" s="81">
        <f t="shared" si="250"/>
        <v>0</v>
      </c>
      <c r="AO130" s="81">
        <f t="shared" si="250"/>
        <v>0</v>
      </c>
      <c r="AP130" s="81">
        <f t="shared" si="250"/>
        <v>0</v>
      </c>
      <c r="AQ130" s="81">
        <f t="shared" si="250"/>
        <v>0</v>
      </c>
      <c r="AR130" s="81">
        <f t="shared" si="250"/>
        <v>0</v>
      </c>
      <c r="AS130" s="81">
        <f t="shared" si="250"/>
        <v>0</v>
      </c>
      <c r="AT130" s="81">
        <f t="shared" si="250"/>
        <v>0</v>
      </c>
      <c r="AU130" s="81">
        <f t="shared" si="250"/>
        <v>0</v>
      </c>
      <c r="AV130" s="81">
        <f t="shared" si="250"/>
        <v>0</v>
      </c>
      <c r="AW130" s="81">
        <f t="shared" si="250"/>
        <v>0</v>
      </c>
      <c r="AX130" s="81">
        <f t="shared" si="250"/>
        <v>0</v>
      </c>
      <c r="AY130" s="81">
        <f t="shared" si="250"/>
        <v>0</v>
      </c>
      <c r="AZ130" s="81">
        <f t="shared" si="250"/>
        <v>0</v>
      </c>
      <c r="BA130" s="82">
        <f t="shared" si="250"/>
        <v>0</v>
      </c>
      <c r="BB130" s="39" t="str">
        <f t="shared" si="24"/>
        <v>Liste 1</v>
      </c>
      <c r="BC130" s="39"/>
      <c r="BD130" s="39"/>
      <c r="BE130" s="39"/>
      <c r="BF130" s="39"/>
      <c r="BG130" s="39"/>
      <c r="BH130" s="39"/>
      <c r="BI130" s="39"/>
      <c r="BJ130" s="39"/>
      <c r="BK130" s="39"/>
      <c r="BL130" s="39"/>
      <c r="BM130" s="39"/>
    </row>
    <row r="131" spans="1:65" ht="16" x14ac:dyDescent="0.2">
      <c r="A131" s="77">
        <v>115</v>
      </c>
      <c r="B131" s="78">
        <f t="shared" ref="B131:R131" si="251">B$12/(AK130+1)</f>
        <v>0.35185185185185186</v>
      </c>
      <c r="C131" s="78">
        <f t="shared" si="251"/>
        <v>0.35483870967741937</v>
      </c>
      <c r="D131" s="78">
        <f t="shared" si="251"/>
        <v>0</v>
      </c>
      <c r="E131" s="78">
        <f t="shared" si="251"/>
        <v>0</v>
      </c>
      <c r="F131" s="78">
        <f t="shared" si="251"/>
        <v>0</v>
      </c>
      <c r="G131" s="78">
        <f t="shared" si="251"/>
        <v>0</v>
      </c>
      <c r="H131" s="78">
        <f t="shared" si="251"/>
        <v>0</v>
      </c>
      <c r="I131" s="78">
        <f t="shared" si="251"/>
        <v>0</v>
      </c>
      <c r="J131" s="78">
        <f t="shared" si="251"/>
        <v>0</v>
      </c>
      <c r="K131" s="78">
        <f t="shared" si="251"/>
        <v>0</v>
      </c>
      <c r="L131" s="78">
        <f t="shared" si="251"/>
        <v>0</v>
      </c>
      <c r="M131" s="78">
        <f t="shared" si="251"/>
        <v>0</v>
      </c>
      <c r="N131" s="78">
        <f t="shared" si="251"/>
        <v>0</v>
      </c>
      <c r="O131" s="78">
        <f t="shared" si="251"/>
        <v>0</v>
      </c>
      <c r="P131" s="78">
        <f t="shared" si="251"/>
        <v>0</v>
      </c>
      <c r="Q131" s="78">
        <f t="shared" si="251"/>
        <v>0</v>
      </c>
      <c r="R131" s="79">
        <f t="shared" si="251"/>
        <v>0</v>
      </c>
      <c r="S131" s="79">
        <f t="shared" si="5"/>
        <v>0.35483870967741937</v>
      </c>
      <c r="T131" s="80">
        <f t="shared" si="6"/>
        <v>0</v>
      </c>
      <c r="U131" s="80">
        <f t="shared" si="7"/>
        <v>1</v>
      </c>
      <c r="V131" s="80">
        <f t="shared" si="8"/>
        <v>0</v>
      </c>
      <c r="W131" s="80">
        <f t="shared" si="9"/>
        <v>0</v>
      </c>
      <c r="X131" s="80">
        <f t="shared" si="10"/>
        <v>0</v>
      </c>
      <c r="Y131" s="80">
        <f t="shared" si="11"/>
        <v>0</v>
      </c>
      <c r="Z131" s="80">
        <f t="shared" si="12"/>
        <v>0</v>
      </c>
      <c r="AA131" s="80">
        <f t="shared" si="13"/>
        <v>0</v>
      </c>
      <c r="AB131" s="80">
        <f t="shared" si="14"/>
        <v>0</v>
      </c>
      <c r="AC131" s="80">
        <f t="shared" si="15"/>
        <v>0</v>
      </c>
      <c r="AD131" s="80">
        <f t="shared" si="16"/>
        <v>0</v>
      </c>
      <c r="AE131" s="80">
        <f t="shared" si="17"/>
        <v>0</v>
      </c>
      <c r="AF131" s="80">
        <f t="shared" si="18"/>
        <v>0</v>
      </c>
      <c r="AG131" s="80">
        <f t="shared" si="19"/>
        <v>0</v>
      </c>
      <c r="AH131" s="80">
        <f t="shared" si="20"/>
        <v>0</v>
      </c>
      <c r="AI131" s="80">
        <f t="shared" si="21"/>
        <v>0</v>
      </c>
      <c r="AJ131" s="80">
        <f t="shared" si="22"/>
        <v>0</v>
      </c>
      <c r="AK131" s="80">
        <f t="shared" ref="AK131:BA131" si="252">T131+AK130</f>
        <v>53</v>
      </c>
      <c r="AL131" s="81">
        <f t="shared" si="252"/>
        <v>62</v>
      </c>
      <c r="AM131" s="81">
        <f t="shared" si="252"/>
        <v>0</v>
      </c>
      <c r="AN131" s="81">
        <f t="shared" si="252"/>
        <v>0</v>
      </c>
      <c r="AO131" s="81">
        <f t="shared" si="252"/>
        <v>0</v>
      </c>
      <c r="AP131" s="81">
        <f t="shared" si="252"/>
        <v>0</v>
      </c>
      <c r="AQ131" s="81">
        <f t="shared" si="252"/>
        <v>0</v>
      </c>
      <c r="AR131" s="81">
        <f t="shared" si="252"/>
        <v>0</v>
      </c>
      <c r="AS131" s="81">
        <f t="shared" si="252"/>
        <v>0</v>
      </c>
      <c r="AT131" s="81">
        <f t="shared" si="252"/>
        <v>0</v>
      </c>
      <c r="AU131" s="81">
        <f t="shared" si="252"/>
        <v>0</v>
      </c>
      <c r="AV131" s="81">
        <f t="shared" si="252"/>
        <v>0</v>
      </c>
      <c r="AW131" s="81">
        <f t="shared" si="252"/>
        <v>0</v>
      </c>
      <c r="AX131" s="81">
        <f t="shared" si="252"/>
        <v>0</v>
      </c>
      <c r="AY131" s="81">
        <f t="shared" si="252"/>
        <v>0</v>
      </c>
      <c r="AZ131" s="81">
        <f t="shared" si="252"/>
        <v>0</v>
      </c>
      <c r="BA131" s="82">
        <f t="shared" si="252"/>
        <v>0</v>
      </c>
      <c r="BB131" s="39" t="str">
        <f t="shared" si="24"/>
        <v>Liste 2</v>
      </c>
      <c r="BC131" s="39"/>
      <c r="BD131" s="39"/>
      <c r="BE131" s="39"/>
      <c r="BF131" s="39"/>
      <c r="BG131" s="39"/>
      <c r="BH131" s="39"/>
      <c r="BI131" s="39"/>
      <c r="BJ131" s="39"/>
      <c r="BK131" s="39"/>
      <c r="BL131" s="39"/>
      <c r="BM131" s="39"/>
    </row>
    <row r="132" spans="1:65" ht="16" x14ac:dyDescent="0.2">
      <c r="A132" s="77">
        <v>116</v>
      </c>
      <c r="B132" s="78">
        <f t="shared" ref="B132:R132" si="253">B$12/(AK131+1)</f>
        <v>0.35185185185185186</v>
      </c>
      <c r="C132" s="78">
        <f t="shared" si="253"/>
        <v>0.34920634920634919</v>
      </c>
      <c r="D132" s="78">
        <f t="shared" si="253"/>
        <v>0</v>
      </c>
      <c r="E132" s="78">
        <f t="shared" si="253"/>
        <v>0</v>
      </c>
      <c r="F132" s="78">
        <f t="shared" si="253"/>
        <v>0</v>
      </c>
      <c r="G132" s="78">
        <f t="shared" si="253"/>
        <v>0</v>
      </c>
      <c r="H132" s="78">
        <f t="shared" si="253"/>
        <v>0</v>
      </c>
      <c r="I132" s="78">
        <f t="shared" si="253"/>
        <v>0</v>
      </c>
      <c r="J132" s="78">
        <f t="shared" si="253"/>
        <v>0</v>
      </c>
      <c r="K132" s="78">
        <f t="shared" si="253"/>
        <v>0</v>
      </c>
      <c r="L132" s="78">
        <f t="shared" si="253"/>
        <v>0</v>
      </c>
      <c r="M132" s="78">
        <f t="shared" si="253"/>
        <v>0</v>
      </c>
      <c r="N132" s="78">
        <f t="shared" si="253"/>
        <v>0</v>
      </c>
      <c r="O132" s="78">
        <f t="shared" si="253"/>
        <v>0</v>
      </c>
      <c r="P132" s="78">
        <f t="shared" si="253"/>
        <v>0</v>
      </c>
      <c r="Q132" s="78">
        <f t="shared" si="253"/>
        <v>0</v>
      </c>
      <c r="R132" s="79">
        <f t="shared" si="253"/>
        <v>0</v>
      </c>
      <c r="S132" s="79">
        <f t="shared" si="5"/>
        <v>0.35185185185185186</v>
      </c>
      <c r="T132" s="80">
        <f t="shared" si="6"/>
        <v>1</v>
      </c>
      <c r="U132" s="80">
        <f t="shared" si="7"/>
        <v>0</v>
      </c>
      <c r="V132" s="80">
        <f t="shared" si="8"/>
        <v>0</v>
      </c>
      <c r="W132" s="80">
        <f t="shared" si="9"/>
        <v>0</v>
      </c>
      <c r="X132" s="80">
        <f t="shared" si="10"/>
        <v>0</v>
      </c>
      <c r="Y132" s="80">
        <f t="shared" si="11"/>
        <v>0</v>
      </c>
      <c r="Z132" s="80">
        <f t="shared" si="12"/>
        <v>0</v>
      </c>
      <c r="AA132" s="80">
        <f t="shared" si="13"/>
        <v>0</v>
      </c>
      <c r="AB132" s="80">
        <f t="shared" si="14"/>
        <v>0</v>
      </c>
      <c r="AC132" s="80">
        <f t="shared" si="15"/>
        <v>0</v>
      </c>
      <c r="AD132" s="80">
        <f t="shared" si="16"/>
        <v>0</v>
      </c>
      <c r="AE132" s="80">
        <f t="shared" si="17"/>
        <v>0</v>
      </c>
      <c r="AF132" s="80">
        <f t="shared" si="18"/>
        <v>0</v>
      </c>
      <c r="AG132" s="80">
        <f t="shared" si="19"/>
        <v>0</v>
      </c>
      <c r="AH132" s="80">
        <f t="shared" si="20"/>
        <v>0</v>
      </c>
      <c r="AI132" s="80">
        <f t="shared" si="21"/>
        <v>0</v>
      </c>
      <c r="AJ132" s="80">
        <f t="shared" si="22"/>
        <v>0</v>
      </c>
      <c r="AK132" s="80">
        <f t="shared" ref="AK132:BA132" si="254">T132+AK131</f>
        <v>54</v>
      </c>
      <c r="AL132" s="81">
        <f t="shared" si="254"/>
        <v>62</v>
      </c>
      <c r="AM132" s="81">
        <f t="shared" si="254"/>
        <v>0</v>
      </c>
      <c r="AN132" s="81">
        <f t="shared" si="254"/>
        <v>0</v>
      </c>
      <c r="AO132" s="81">
        <f t="shared" si="254"/>
        <v>0</v>
      </c>
      <c r="AP132" s="81">
        <f t="shared" si="254"/>
        <v>0</v>
      </c>
      <c r="AQ132" s="81">
        <f t="shared" si="254"/>
        <v>0</v>
      </c>
      <c r="AR132" s="81">
        <f t="shared" si="254"/>
        <v>0</v>
      </c>
      <c r="AS132" s="81">
        <f t="shared" si="254"/>
        <v>0</v>
      </c>
      <c r="AT132" s="81">
        <f t="shared" si="254"/>
        <v>0</v>
      </c>
      <c r="AU132" s="81">
        <f t="shared" si="254"/>
        <v>0</v>
      </c>
      <c r="AV132" s="81">
        <f t="shared" si="254"/>
        <v>0</v>
      </c>
      <c r="AW132" s="81">
        <f t="shared" si="254"/>
        <v>0</v>
      </c>
      <c r="AX132" s="81">
        <f t="shared" si="254"/>
        <v>0</v>
      </c>
      <c r="AY132" s="81">
        <f t="shared" si="254"/>
        <v>0</v>
      </c>
      <c r="AZ132" s="81">
        <f t="shared" si="254"/>
        <v>0</v>
      </c>
      <c r="BA132" s="82">
        <f t="shared" si="254"/>
        <v>0</v>
      </c>
      <c r="BB132" s="39" t="str">
        <f t="shared" si="24"/>
        <v>Liste 1</v>
      </c>
      <c r="BC132" s="39"/>
      <c r="BD132" s="39"/>
      <c r="BE132" s="39"/>
      <c r="BF132" s="39"/>
      <c r="BG132" s="39"/>
      <c r="BH132" s="39"/>
      <c r="BI132" s="39"/>
      <c r="BJ132" s="39"/>
      <c r="BK132" s="39"/>
      <c r="BL132" s="39"/>
      <c r="BM132" s="39"/>
    </row>
    <row r="133" spans="1:65" ht="16" x14ac:dyDescent="0.2">
      <c r="A133" s="77">
        <v>117</v>
      </c>
      <c r="B133" s="78">
        <f t="shared" ref="B133:R133" si="255">B$12/(AK132+1)</f>
        <v>0.34545454545454546</v>
      </c>
      <c r="C133" s="78">
        <f t="shared" si="255"/>
        <v>0.34920634920634919</v>
      </c>
      <c r="D133" s="78">
        <f t="shared" si="255"/>
        <v>0</v>
      </c>
      <c r="E133" s="78">
        <f t="shared" si="255"/>
        <v>0</v>
      </c>
      <c r="F133" s="78">
        <f t="shared" si="255"/>
        <v>0</v>
      </c>
      <c r="G133" s="78">
        <f t="shared" si="255"/>
        <v>0</v>
      </c>
      <c r="H133" s="78">
        <f t="shared" si="255"/>
        <v>0</v>
      </c>
      <c r="I133" s="78">
        <f t="shared" si="255"/>
        <v>0</v>
      </c>
      <c r="J133" s="78">
        <f t="shared" si="255"/>
        <v>0</v>
      </c>
      <c r="K133" s="78">
        <f t="shared" si="255"/>
        <v>0</v>
      </c>
      <c r="L133" s="78">
        <f t="shared" si="255"/>
        <v>0</v>
      </c>
      <c r="M133" s="78">
        <f t="shared" si="255"/>
        <v>0</v>
      </c>
      <c r="N133" s="78">
        <f t="shared" si="255"/>
        <v>0</v>
      </c>
      <c r="O133" s="78">
        <f t="shared" si="255"/>
        <v>0</v>
      </c>
      <c r="P133" s="78">
        <f t="shared" si="255"/>
        <v>0</v>
      </c>
      <c r="Q133" s="78">
        <f t="shared" si="255"/>
        <v>0</v>
      </c>
      <c r="R133" s="79">
        <f t="shared" si="255"/>
        <v>0</v>
      </c>
      <c r="S133" s="79">
        <f t="shared" si="5"/>
        <v>0.34920634920634919</v>
      </c>
      <c r="T133" s="80">
        <f t="shared" si="6"/>
        <v>0</v>
      </c>
      <c r="U133" s="80">
        <f t="shared" si="7"/>
        <v>1</v>
      </c>
      <c r="V133" s="80">
        <f t="shared" si="8"/>
        <v>0</v>
      </c>
      <c r="W133" s="80">
        <f t="shared" si="9"/>
        <v>0</v>
      </c>
      <c r="X133" s="80">
        <f t="shared" si="10"/>
        <v>0</v>
      </c>
      <c r="Y133" s="80">
        <f t="shared" si="11"/>
        <v>0</v>
      </c>
      <c r="Z133" s="80">
        <f t="shared" si="12"/>
        <v>0</v>
      </c>
      <c r="AA133" s="80">
        <f t="shared" si="13"/>
        <v>0</v>
      </c>
      <c r="AB133" s="80">
        <f t="shared" si="14"/>
        <v>0</v>
      </c>
      <c r="AC133" s="80">
        <f t="shared" si="15"/>
        <v>0</v>
      </c>
      <c r="AD133" s="80">
        <f t="shared" si="16"/>
        <v>0</v>
      </c>
      <c r="AE133" s="80">
        <f t="shared" si="17"/>
        <v>0</v>
      </c>
      <c r="AF133" s="80">
        <f t="shared" si="18"/>
        <v>0</v>
      </c>
      <c r="AG133" s="80">
        <f t="shared" si="19"/>
        <v>0</v>
      </c>
      <c r="AH133" s="80">
        <f t="shared" si="20"/>
        <v>0</v>
      </c>
      <c r="AI133" s="80">
        <f t="shared" si="21"/>
        <v>0</v>
      </c>
      <c r="AJ133" s="80">
        <f t="shared" si="22"/>
        <v>0</v>
      </c>
      <c r="AK133" s="80">
        <f t="shared" ref="AK133:BA133" si="256">T133+AK132</f>
        <v>54</v>
      </c>
      <c r="AL133" s="81">
        <f t="shared" si="256"/>
        <v>63</v>
      </c>
      <c r="AM133" s="81">
        <f t="shared" si="256"/>
        <v>0</v>
      </c>
      <c r="AN133" s="81">
        <f t="shared" si="256"/>
        <v>0</v>
      </c>
      <c r="AO133" s="81">
        <f t="shared" si="256"/>
        <v>0</v>
      </c>
      <c r="AP133" s="81">
        <f t="shared" si="256"/>
        <v>0</v>
      </c>
      <c r="AQ133" s="81">
        <f t="shared" si="256"/>
        <v>0</v>
      </c>
      <c r="AR133" s="81">
        <f t="shared" si="256"/>
        <v>0</v>
      </c>
      <c r="AS133" s="81">
        <f t="shared" si="256"/>
        <v>0</v>
      </c>
      <c r="AT133" s="81">
        <f t="shared" si="256"/>
        <v>0</v>
      </c>
      <c r="AU133" s="81">
        <f t="shared" si="256"/>
        <v>0</v>
      </c>
      <c r="AV133" s="81">
        <f t="shared" si="256"/>
        <v>0</v>
      </c>
      <c r="AW133" s="81">
        <f t="shared" si="256"/>
        <v>0</v>
      </c>
      <c r="AX133" s="81">
        <f t="shared" si="256"/>
        <v>0</v>
      </c>
      <c r="AY133" s="81">
        <f t="shared" si="256"/>
        <v>0</v>
      </c>
      <c r="AZ133" s="81">
        <f t="shared" si="256"/>
        <v>0</v>
      </c>
      <c r="BA133" s="82">
        <f t="shared" si="256"/>
        <v>0</v>
      </c>
      <c r="BB133" s="39" t="str">
        <f t="shared" si="24"/>
        <v>Liste 2</v>
      </c>
      <c r="BC133" s="39"/>
      <c r="BD133" s="39"/>
      <c r="BE133" s="39"/>
      <c r="BF133" s="39"/>
      <c r="BG133" s="39"/>
      <c r="BH133" s="39"/>
      <c r="BI133" s="39"/>
      <c r="BJ133" s="39"/>
      <c r="BK133" s="39"/>
      <c r="BL133" s="39"/>
      <c r="BM133" s="39"/>
    </row>
    <row r="134" spans="1:65" ht="16" x14ac:dyDescent="0.2">
      <c r="A134" s="77">
        <v>118</v>
      </c>
      <c r="B134" s="78">
        <f t="shared" ref="B134:R134" si="257">B$12/(AK133+1)</f>
        <v>0.34545454545454546</v>
      </c>
      <c r="C134" s="78">
        <f t="shared" si="257"/>
        <v>0.34375</v>
      </c>
      <c r="D134" s="78">
        <f t="shared" si="257"/>
        <v>0</v>
      </c>
      <c r="E134" s="78">
        <f t="shared" si="257"/>
        <v>0</v>
      </c>
      <c r="F134" s="78">
        <f t="shared" si="257"/>
        <v>0</v>
      </c>
      <c r="G134" s="78">
        <f t="shared" si="257"/>
        <v>0</v>
      </c>
      <c r="H134" s="78">
        <f t="shared" si="257"/>
        <v>0</v>
      </c>
      <c r="I134" s="78">
        <f t="shared" si="257"/>
        <v>0</v>
      </c>
      <c r="J134" s="78">
        <f t="shared" si="257"/>
        <v>0</v>
      </c>
      <c r="K134" s="78">
        <f t="shared" si="257"/>
        <v>0</v>
      </c>
      <c r="L134" s="78">
        <f t="shared" si="257"/>
        <v>0</v>
      </c>
      <c r="M134" s="78">
        <f t="shared" si="257"/>
        <v>0</v>
      </c>
      <c r="N134" s="78">
        <f t="shared" si="257"/>
        <v>0</v>
      </c>
      <c r="O134" s="78">
        <f t="shared" si="257"/>
        <v>0</v>
      </c>
      <c r="P134" s="78">
        <f t="shared" si="257"/>
        <v>0</v>
      </c>
      <c r="Q134" s="78">
        <f t="shared" si="257"/>
        <v>0</v>
      </c>
      <c r="R134" s="79">
        <f t="shared" si="257"/>
        <v>0</v>
      </c>
      <c r="S134" s="79">
        <f t="shared" si="5"/>
        <v>0.34545454545454546</v>
      </c>
      <c r="T134" s="80">
        <f t="shared" si="6"/>
        <v>1</v>
      </c>
      <c r="U134" s="80">
        <f t="shared" si="7"/>
        <v>0</v>
      </c>
      <c r="V134" s="80">
        <f t="shared" si="8"/>
        <v>0</v>
      </c>
      <c r="W134" s="80">
        <f t="shared" si="9"/>
        <v>0</v>
      </c>
      <c r="X134" s="80">
        <f t="shared" si="10"/>
        <v>0</v>
      </c>
      <c r="Y134" s="80">
        <f t="shared" si="11"/>
        <v>0</v>
      </c>
      <c r="Z134" s="80">
        <f t="shared" si="12"/>
        <v>0</v>
      </c>
      <c r="AA134" s="80">
        <f t="shared" si="13"/>
        <v>0</v>
      </c>
      <c r="AB134" s="80">
        <f t="shared" si="14"/>
        <v>0</v>
      </c>
      <c r="AC134" s="80">
        <f t="shared" si="15"/>
        <v>0</v>
      </c>
      <c r="AD134" s="80">
        <f t="shared" si="16"/>
        <v>0</v>
      </c>
      <c r="AE134" s="80">
        <f t="shared" si="17"/>
        <v>0</v>
      </c>
      <c r="AF134" s="80">
        <f t="shared" si="18"/>
        <v>0</v>
      </c>
      <c r="AG134" s="80">
        <f t="shared" si="19"/>
        <v>0</v>
      </c>
      <c r="AH134" s="80">
        <f t="shared" si="20"/>
        <v>0</v>
      </c>
      <c r="AI134" s="80">
        <f t="shared" si="21"/>
        <v>0</v>
      </c>
      <c r="AJ134" s="80">
        <f t="shared" si="22"/>
        <v>0</v>
      </c>
      <c r="AK134" s="80">
        <f t="shared" ref="AK134:BA134" si="258">T134+AK133</f>
        <v>55</v>
      </c>
      <c r="AL134" s="81">
        <f t="shared" si="258"/>
        <v>63</v>
      </c>
      <c r="AM134" s="81">
        <f t="shared" si="258"/>
        <v>0</v>
      </c>
      <c r="AN134" s="81">
        <f t="shared" si="258"/>
        <v>0</v>
      </c>
      <c r="AO134" s="81">
        <f t="shared" si="258"/>
        <v>0</v>
      </c>
      <c r="AP134" s="81">
        <f t="shared" si="258"/>
        <v>0</v>
      </c>
      <c r="AQ134" s="81">
        <f t="shared" si="258"/>
        <v>0</v>
      </c>
      <c r="AR134" s="81">
        <f t="shared" si="258"/>
        <v>0</v>
      </c>
      <c r="AS134" s="81">
        <f t="shared" si="258"/>
        <v>0</v>
      </c>
      <c r="AT134" s="81">
        <f t="shared" si="258"/>
        <v>0</v>
      </c>
      <c r="AU134" s="81">
        <f t="shared" si="258"/>
        <v>0</v>
      </c>
      <c r="AV134" s="81">
        <f t="shared" si="258"/>
        <v>0</v>
      </c>
      <c r="AW134" s="81">
        <f t="shared" si="258"/>
        <v>0</v>
      </c>
      <c r="AX134" s="81">
        <f t="shared" si="258"/>
        <v>0</v>
      </c>
      <c r="AY134" s="81">
        <f t="shared" si="258"/>
        <v>0</v>
      </c>
      <c r="AZ134" s="81">
        <f t="shared" si="258"/>
        <v>0</v>
      </c>
      <c r="BA134" s="82">
        <f t="shared" si="258"/>
        <v>0</v>
      </c>
      <c r="BB134" s="39" t="str">
        <f t="shared" si="24"/>
        <v>Liste 1</v>
      </c>
      <c r="BC134" s="39"/>
      <c r="BD134" s="39"/>
      <c r="BE134" s="39"/>
      <c r="BF134" s="39"/>
      <c r="BG134" s="39"/>
      <c r="BH134" s="39"/>
      <c r="BI134" s="39"/>
      <c r="BJ134" s="39"/>
      <c r="BK134" s="39"/>
      <c r="BL134" s="39"/>
      <c r="BM134" s="39"/>
    </row>
    <row r="135" spans="1:65" ht="16" x14ac:dyDescent="0.2">
      <c r="A135" s="77">
        <v>119</v>
      </c>
      <c r="B135" s="78">
        <f t="shared" ref="B135:R135" si="259">B$12/(AK134+1)</f>
        <v>0.3392857142857143</v>
      </c>
      <c r="C135" s="78">
        <f t="shared" si="259"/>
        <v>0.34375</v>
      </c>
      <c r="D135" s="78">
        <f t="shared" si="259"/>
        <v>0</v>
      </c>
      <c r="E135" s="78">
        <f t="shared" si="259"/>
        <v>0</v>
      </c>
      <c r="F135" s="78">
        <f t="shared" si="259"/>
        <v>0</v>
      </c>
      <c r="G135" s="78">
        <f t="shared" si="259"/>
        <v>0</v>
      </c>
      <c r="H135" s="78">
        <f t="shared" si="259"/>
        <v>0</v>
      </c>
      <c r="I135" s="78">
        <f t="shared" si="259"/>
        <v>0</v>
      </c>
      <c r="J135" s="78">
        <f t="shared" si="259"/>
        <v>0</v>
      </c>
      <c r="K135" s="78">
        <f t="shared" si="259"/>
        <v>0</v>
      </c>
      <c r="L135" s="78">
        <f t="shared" si="259"/>
        <v>0</v>
      </c>
      <c r="M135" s="78">
        <f t="shared" si="259"/>
        <v>0</v>
      </c>
      <c r="N135" s="78">
        <f t="shared" si="259"/>
        <v>0</v>
      </c>
      <c r="O135" s="78">
        <f t="shared" si="259"/>
        <v>0</v>
      </c>
      <c r="P135" s="78">
        <f t="shared" si="259"/>
        <v>0</v>
      </c>
      <c r="Q135" s="78">
        <f t="shared" si="259"/>
        <v>0</v>
      </c>
      <c r="R135" s="79">
        <f t="shared" si="259"/>
        <v>0</v>
      </c>
      <c r="S135" s="79">
        <f t="shared" si="5"/>
        <v>0.34375</v>
      </c>
      <c r="T135" s="80">
        <f t="shared" si="6"/>
        <v>0</v>
      </c>
      <c r="U135" s="80">
        <f t="shared" si="7"/>
        <v>1</v>
      </c>
      <c r="V135" s="80">
        <f t="shared" si="8"/>
        <v>0</v>
      </c>
      <c r="W135" s="80">
        <f t="shared" si="9"/>
        <v>0</v>
      </c>
      <c r="X135" s="80">
        <f t="shared" si="10"/>
        <v>0</v>
      </c>
      <c r="Y135" s="80">
        <f t="shared" si="11"/>
        <v>0</v>
      </c>
      <c r="Z135" s="80">
        <f t="shared" si="12"/>
        <v>0</v>
      </c>
      <c r="AA135" s="80">
        <f t="shared" si="13"/>
        <v>0</v>
      </c>
      <c r="AB135" s="80">
        <f t="shared" si="14"/>
        <v>0</v>
      </c>
      <c r="AC135" s="80">
        <f t="shared" si="15"/>
        <v>0</v>
      </c>
      <c r="AD135" s="80">
        <f t="shared" si="16"/>
        <v>0</v>
      </c>
      <c r="AE135" s="80">
        <f t="shared" si="17"/>
        <v>0</v>
      </c>
      <c r="AF135" s="80">
        <f t="shared" si="18"/>
        <v>0</v>
      </c>
      <c r="AG135" s="80">
        <f t="shared" si="19"/>
        <v>0</v>
      </c>
      <c r="AH135" s="80">
        <f t="shared" si="20"/>
        <v>0</v>
      </c>
      <c r="AI135" s="80">
        <f t="shared" si="21"/>
        <v>0</v>
      </c>
      <c r="AJ135" s="80">
        <f t="shared" si="22"/>
        <v>0</v>
      </c>
      <c r="AK135" s="80">
        <f t="shared" ref="AK135:BA135" si="260">T135+AK134</f>
        <v>55</v>
      </c>
      <c r="AL135" s="81">
        <f t="shared" si="260"/>
        <v>64</v>
      </c>
      <c r="AM135" s="81">
        <f t="shared" si="260"/>
        <v>0</v>
      </c>
      <c r="AN135" s="81">
        <f t="shared" si="260"/>
        <v>0</v>
      </c>
      <c r="AO135" s="81">
        <f t="shared" si="260"/>
        <v>0</v>
      </c>
      <c r="AP135" s="81">
        <f t="shared" si="260"/>
        <v>0</v>
      </c>
      <c r="AQ135" s="81">
        <f t="shared" si="260"/>
        <v>0</v>
      </c>
      <c r="AR135" s="81">
        <f t="shared" si="260"/>
        <v>0</v>
      </c>
      <c r="AS135" s="81">
        <f t="shared" si="260"/>
        <v>0</v>
      </c>
      <c r="AT135" s="81">
        <f t="shared" si="260"/>
        <v>0</v>
      </c>
      <c r="AU135" s="81">
        <f t="shared" si="260"/>
        <v>0</v>
      </c>
      <c r="AV135" s="81">
        <f t="shared" si="260"/>
        <v>0</v>
      </c>
      <c r="AW135" s="81">
        <f t="shared" si="260"/>
        <v>0</v>
      </c>
      <c r="AX135" s="81">
        <f t="shared" si="260"/>
        <v>0</v>
      </c>
      <c r="AY135" s="81">
        <f t="shared" si="260"/>
        <v>0</v>
      </c>
      <c r="AZ135" s="81">
        <f t="shared" si="260"/>
        <v>0</v>
      </c>
      <c r="BA135" s="82">
        <f t="shared" si="260"/>
        <v>0</v>
      </c>
      <c r="BB135" s="39" t="str">
        <f t="shared" si="24"/>
        <v>Liste 2</v>
      </c>
      <c r="BC135" s="39"/>
      <c r="BD135" s="39"/>
      <c r="BE135" s="39"/>
      <c r="BF135" s="39"/>
      <c r="BG135" s="39"/>
      <c r="BH135" s="39"/>
      <c r="BI135" s="39"/>
      <c r="BJ135" s="39"/>
      <c r="BK135" s="39"/>
      <c r="BL135" s="39"/>
      <c r="BM135" s="39"/>
    </row>
    <row r="136" spans="1:65" ht="16" x14ac:dyDescent="0.2">
      <c r="A136" s="77">
        <v>120</v>
      </c>
      <c r="B136" s="78">
        <f t="shared" ref="B136:R136" si="261">B$12/(AK135+1)</f>
        <v>0.3392857142857143</v>
      </c>
      <c r="C136" s="78">
        <f t="shared" si="261"/>
        <v>0.33846153846153848</v>
      </c>
      <c r="D136" s="78">
        <f t="shared" si="261"/>
        <v>0</v>
      </c>
      <c r="E136" s="78">
        <f t="shared" si="261"/>
        <v>0</v>
      </c>
      <c r="F136" s="78">
        <f t="shared" si="261"/>
        <v>0</v>
      </c>
      <c r="G136" s="78">
        <f t="shared" si="261"/>
        <v>0</v>
      </c>
      <c r="H136" s="78">
        <f t="shared" si="261"/>
        <v>0</v>
      </c>
      <c r="I136" s="78">
        <f t="shared" si="261"/>
        <v>0</v>
      </c>
      <c r="J136" s="78">
        <f t="shared" si="261"/>
        <v>0</v>
      </c>
      <c r="K136" s="78">
        <f t="shared" si="261"/>
        <v>0</v>
      </c>
      <c r="L136" s="78">
        <f t="shared" si="261"/>
        <v>0</v>
      </c>
      <c r="M136" s="78">
        <f t="shared" si="261"/>
        <v>0</v>
      </c>
      <c r="N136" s="78">
        <f t="shared" si="261"/>
        <v>0</v>
      </c>
      <c r="O136" s="78">
        <f t="shared" si="261"/>
        <v>0</v>
      </c>
      <c r="P136" s="78">
        <f t="shared" si="261"/>
        <v>0</v>
      </c>
      <c r="Q136" s="78">
        <f t="shared" si="261"/>
        <v>0</v>
      </c>
      <c r="R136" s="79">
        <f t="shared" si="261"/>
        <v>0</v>
      </c>
      <c r="S136" s="79">
        <f t="shared" si="5"/>
        <v>0.3392857142857143</v>
      </c>
      <c r="T136" s="80">
        <f t="shared" si="6"/>
        <v>1</v>
      </c>
      <c r="U136" s="80">
        <f t="shared" si="7"/>
        <v>0</v>
      </c>
      <c r="V136" s="80">
        <f t="shared" si="8"/>
        <v>0</v>
      </c>
      <c r="W136" s="80">
        <f t="shared" si="9"/>
        <v>0</v>
      </c>
      <c r="X136" s="80">
        <f t="shared" si="10"/>
        <v>0</v>
      </c>
      <c r="Y136" s="80">
        <f t="shared" si="11"/>
        <v>0</v>
      </c>
      <c r="Z136" s="80">
        <f t="shared" si="12"/>
        <v>0</v>
      </c>
      <c r="AA136" s="80">
        <f t="shared" si="13"/>
        <v>0</v>
      </c>
      <c r="AB136" s="80">
        <f t="shared" si="14"/>
        <v>0</v>
      </c>
      <c r="AC136" s="80">
        <f t="shared" si="15"/>
        <v>0</v>
      </c>
      <c r="AD136" s="80">
        <f t="shared" si="16"/>
        <v>0</v>
      </c>
      <c r="AE136" s="80">
        <f t="shared" si="17"/>
        <v>0</v>
      </c>
      <c r="AF136" s="80">
        <f t="shared" si="18"/>
        <v>0</v>
      </c>
      <c r="AG136" s="80">
        <f t="shared" si="19"/>
        <v>0</v>
      </c>
      <c r="AH136" s="80">
        <f t="shared" si="20"/>
        <v>0</v>
      </c>
      <c r="AI136" s="80">
        <f t="shared" si="21"/>
        <v>0</v>
      </c>
      <c r="AJ136" s="80">
        <f t="shared" si="22"/>
        <v>0</v>
      </c>
      <c r="AK136" s="80">
        <f t="shared" ref="AK136:BA136" si="262">T136+AK135</f>
        <v>56</v>
      </c>
      <c r="AL136" s="81">
        <f t="shared" si="262"/>
        <v>64</v>
      </c>
      <c r="AM136" s="81">
        <f t="shared" si="262"/>
        <v>0</v>
      </c>
      <c r="AN136" s="81">
        <f t="shared" si="262"/>
        <v>0</v>
      </c>
      <c r="AO136" s="81">
        <f t="shared" si="262"/>
        <v>0</v>
      </c>
      <c r="AP136" s="81">
        <f t="shared" si="262"/>
        <v>0</v>
      </c>
      <c r="AQ136" s="81">
        <f t="shared" si="262"/>
        <v>0</v>
      </c>
      <c r="AR136" s="81">
        <f t="shared" si="262"/>
        <v>0</v>
      </c>
      <c r="AS136" s="81">
        <f t="shared" si="262"/>
        <v>0</v>
      </c>
      <c r="AT136" s="81">
        <f t="shared" si="262"/>
        <v>0</v>
      </c>
      <c r="AU136" s="81">
        <f t="shared" si="262"/>
        <v>0</v>
      </c>
      <c r="AV136" s="81">
        <f t="shared" si="262"/>
        <v>0</v>
      </c>
      <c r="AW136" s="81">
        <f t="shared" si="262"/>
        <v>0</v>
      </c>
      <c r="AX136" s="81">
        <f t="shared" si="262"/>
        <v>0</v>
      </c>
      <c r="AY136" s="81">
        <f t="shared" si="262"/>
        <v>0</v>
      </c>
      <c r="AZ136" s="81">
        <f t="shared" si="262"/>
        <v>0</v>
      </c>
      <c r="BA136" s="82">
        <f t="shared" si="262"/>
        <v>0</v>
      </c>
      <c r="BB136" s="39" t="str">
        <f t="shared" si="24"/>
        <v>Liste 1</v>
      </c>
      <c r="BC136" s="39"/>
      <c r="BD136" s="39"/>
      <c r="BE136" s="39"/>
      <c r="BF136" s="39"/>
      <c r="BG136" s="39"/>
      <c r="BH136" s="39"/>
      <c r="BI136" s="39"/>
      <c r="BJ136" s="39"/>
      <c r="BK136" s="39"/>
      <c r="BL136" s="39"/>
      <c r="BM136" s="39"/>
    </row>
    <row r="137" spans="1:65" ht="16" x14ac:dyDescent="0.2">
      <c r="A137" s="77">
        <v>121</v>
      </c>
      <c r="B137" s="78">
        <f t="shared" ref="B137:R137" si="263">B$12/(AK136+1)</f>
        <v>0.33333333333333331</v>
      </c>
      <c r="C137" s="78">
        <f t="shared" si="263"/>
        <v>0.33846153846153848</v>
      </c>
      <c r="D137" s="78">
        <f t="shared" si="263"/>
        <v>0</v>
      </c>
      <c r="E137" s="78">
        <f t="shared" si="263"/>
        <v>0</v>
      </c>
      <c r="F137" s="78">
        <f t="shared" si="263"/>
        <v>0</v>
      </c>
      <c r="G137" s="78">
        <f t="shared" si="263"/>
        <v>0</v>
      </c>
      <c r="H137" s="78">
        <f t="shared" si="263"/>
        <v>0</v>
      </c>
      <c r="I137" s="78">
        <f t="shared" si="263"/>
        <v>0</v>
      </c>
      <c r="J137" s="78">
        <f t="shared" si="263"/>
        <v>0</v>
      </c>
      <c r="K137" s="78">
        <f t="shared" si="263"/>
        <v>0</v>
      </c>
      <c r="L137" s="78">
        <f t="shared" si="263"/>
        <v>0</v>
      </c>
      <c r="M137" s="78">
        <f t="shared" si="263"/>
        <v>0</v>
      </c>
      <c r="N137" s="78">
        <f t="shared" si="263"/>
        <v>0</v>
      </c>
      <c r="O137" s="78">
        <f t="shared" si="263"/>
        <v>0</v>
      </c>
      <c r="P137" s="78">
        <f t="shared" si="263"/>
        <v>0</v>
      </c>
      <c r="Q137" s="78">
        <f t="shared" si="263"/>
        <v>0</v>
      </c>
      <c r="R137" s="79">
        <f t="shared" si="263"/>
        <v>0</v>
      </c>
      <c r="S137" s="79">
        <f t="shared" si="5"/>
        <v>0.33846153846153848</v>
      </c>
      <c r="T137" s="80">
        <f t="shared" si="6"/>
        <v>0</v>
      </c>
      <c r="U137" s="80">
        <f t="shared" si="7"/>
        <v>1</v>
      </c>
      <c r="V137" s="80">
        <f t="shared" si="8"/>
        <v>0</v>
      </c>
      <c r="W137" s="80">
        <f t="shared" si="9"/>
        <v>0</v>
      </c>
      <c r="X137" s="80">
        <f t="shared" si="10"/>
        <v>0</v>
      </c>
      <c r="Y137" s="80">
        <f t="shared" si="11"/>
        <v>0</v>
      </c>
      <c r="Z137" s="80">
        <f t="shared" si="12"/>
        <v>0</v>
      </c>
      <c r="AA137" s="80">
        <f t="shared" si="13"/>
        <v>0</v>
      </c>
      <c r="AB137" s="80">
        <f t="shared" si="14"/>
        <v>0</v>
      </c>
      <c r="AC137" s="80">
        <f t="shared" si="15"/>
        <v>0</v>
      </c>
      <c r="AD137" s="80">
        <f t="shared" si="16"/>
        <v>0</v>
      </c>
      <c r="AE137" s="80">
        <f t="shared" si="17"/>
        <v>0</v>
      </c>
      <c r="AF137" s="80">
        <f t="shared" si="18"/>
        <v>0</v>
      </c>
      <c r="AG137" s="80">
        <f t="shared" si="19"/>
        <v>0</v>
      </c>
      <c r="AH137" s="80">
        <f t="shared" si="20"/>
        <v>0</v>
      </c>
      <c r="AI137" s="80">
        <f t="shared" si="21"/>
        <v>0</v>
      </c>
      <c r="AJ137" s="80">
        <f t="shared" si="22"/>
        <v>0</v>
      </c>
      <c r="AK137" s="80">
        <f t="shared" ref="AK137:BA137" si="264">T137+AK136</f>
        <v>56</v>
      </c>
      <c r="AL137" s="81">
        <f t="shared" si="264"/>
        <v>65</v>
      </c>
      <c r="AM137" s="81">
        <f t="shared" si="264"/>
        <v>0</v>
      </c>
      <c r="AN137" s="81">
        <f t="shared" si="264"/>
        <v>0</v>
      </c>
      <c r="AO137" s="81">
        <f t="shared" si="264"/>
        <v>0</v>
      </c>
      <c r="AP137" s="81">
        <f t="shared" si="264"/>
        <v>0</v>
      </c>
      <c r="AQ137" s="81">
        <f t="shared" si="264"/>
        <v>0</v>
      </c>
      <c r="AR137" s="81">
        <f t="shared" si="264"/>
        <v>0</v>
      </c>
      <c r="AS137" s="81">
        <f t="shared" si="264"/>
        <v>0</v>
      </c>
      <c r="AT137" s="81">
        <f t="shared" si="264"/>
        <v>0</v>
      </c>
      <c r="AU137" s="81">
        <f t="shared" si="264"/>
        <v>0</v>
      </c>
      <c r="AV137" s="81">
        <f t="shared" si="264"/>
        <v>0</v>
      </c>
      <c r="AW137" s="81">
        <f t="shared" si="264"/>
        <v>0</v>
      </c>
      <c r="AX137" s="81">
        <f t="shared" si="264"/>
        <v>0</v>
      </c>
      <c r="AY137" s="81">
        <f t="shared" si="264"/>
        <v>0</v>
      </c>
      <c r="AZ137" s="81">
        <f t="shared" si="264"/>
        <v>0</v>
      </c>
      <c r="BA137" s="82">
        <f t="shared" si="264"/>
        <v>0</v>
      </c>
      <c r="BB137" s="39" t="str">
        <f t="shared" si="24"/>
        <v>Liste 2</v>
      </c>
      <c r="BC137" s="39"/>
      <c r="BD137" s="39"/>
      <c r="BE137" s="39"/>
      <c r="BF137" s="39"/>
      <c r="BG137" s="39"/>
      <c r="BH137" s="39"/>
      <c r="BI137" s="39"/>
      <c r="BJ137" s="39"/>
      <c r="BK137" s="39"/>
      <c r="BL137" s="39"/>
      <c r="BM137" s="39"/>
    </row>
    <row r="138" spans="1:65" ht="16" x14ac:dyDescent="0.2">
      <c r="A138" s="77">
        <v>122</v>
      </c>
      <c r="B138" s="78">
        <f t="shared" ref="B138:R138" si="265">B$12/(AK137+1)</f>
        <v>0.33333333333333331</v>
      </c>
      <c r="C138" s="78">
        <f t="shared" si="265"/>
        <v>0.33333333333333331</v>
      </c>
      <c r="D138" s="78">
        <f t="shared" si="265"/>
        <v>0</v>
      </c>
      <c r="E138" s="78">
        <f t="shared" si="265"/>
        <v>0</v>
      </c>
      <c r="F138" s="78">
        <f t="shared" si="265"/>
        <v>0</v>
      </c>
      <c r="G138" s="78">
        <f t="shared" si="265"/>
        <v>0</v>
      </c>
      <c r="H138" s="78">
        <f t="shared" si="265"/>
        <v>0</v>
      </c>
      <c r="I138" s="78">
        <f t="shared" si="265"/>
        <v>0</v>
      </c>
      <c r="J138" s="78">
        <f t="shared" si="265"/>
        <v>0</v>
      </c>
      <c r="K138" s="78">
        <f t="shared" si="265"/>
        <v>0</v>
      </c>
      <c r="L138" s="78">
        <f t="shared" si="265"/>
        <v>0</v>
      </c>
      <c r="M138" s="78">
        <f t="shared" si="265"/>
        <v>0</v>
      </c>
      <c r="N138" s="78">
        <f t="shared" si="265"/>
        <v>0</v>
      </c>
      <c r="O138" s="78">
        <f t="shared" si="265"/>
        <v>0</v>
      </c>
      <c r="P138" s="78">
        <f t="shared" si="265"/>
        <v>0</v>
      </c>
      <c r="Q138" s="78">
        <f t="shared" si="265"/>
        <v>0</v>
      </c>
      <c r="R138" s="79">
        <f t="shared" si="265"/>
        <v>0</v>
      </c>
      <c r="S138" s="79">
        <f t="shared" si="5"/>
        <v>0.33333333333333331</v>
      </c>
      <c r="T138" s="80">
        <f t="shared" si="6"/>
        <v>1</v>
      </c>
      <c r="U138" s="80">
        <f t="shared" si="7"/>
        <v>0</v>
      </c>
      <c r="V138" s="80">
        <f t="shared" si="8"/>
        <v>0</v>
      </c>
      <c r="W138" s="80">
        <f t="shared" si="9"/>
        <v>0</v>
      </c>
      <c r="X138" s="80">
        <f t="shared" si="10"/>
        <v>0</v>
      </c>
      <c r="Y138" s="80">
        <f t="shared" si="11"/>
        <v>0</v>
      </c>
      <c r="Z138" s="80">
        <f t="shared" si="12"/>
        <v>0</v>
      </c>
      <c r="AA138" s="80">
        <f t="shared" si="13"/>
        <v>0</v>
      </c>
      <c r="AB138" s="80">
        <f t="shared" si="14"/>
        <v>0</v>
      </c>
      <c r="AC138" s="80">
        <f t="shared" si="15"/>
        <v>0</v>
      </c>
      <c r="AD138" s="80">
        <f t="shared" si="16"/>
        <v>0</v>
      </c>
      <c r="AE138" s="80">
        <f t="shared" si="17"/>
        <v>0</v>
      </c>
      <c r="AF138" s="80">
        <f t="shared" si="18"/>
        <v>0</v>
      </c>
      <c r="AG138" s="80">
        <f t="shared" si="19"/>
        <v>0</v>
      </c>
      <c r="AH138" s="80">
        <f t="shared" si="20"/>
        <v>0</v>
      </c>
      <c r="AI138" s="80">
        <f t="shared" si="21"/>
        <v>0</v>
      </c>
      <c r="AJ138" s="80">
        <f t="shared" si="22"/>
        <v>0</v>
      </c>
      <c r="AK138" s="80">
        <f t="shared" ref="AK138:BA138" si="266">T138+AK137</f>
        <v>57</v>
      </c>
      <c r="AL138" s="81">
        <f t="shared" si="266"/>
        <v>65</v>
      </c>
      <c r="AM138" s="81">
        <f t="shared" si="266"/>
        <v>0</v>
      </c>
      <c r="AN138" s="81">
        <f t="shared" si="266"/>
        <v>0</v>
      </c>
      <c r="AO138" s="81">
        <f t="shared" si="266"/>
        <v>0</v>
      </c>
      <c r="AP138" s="81">
        <f t="shared" si="266"/>
        <v>0</v>
      </c>
      <c r="AQ138" s="81">
        <f t="shared" si="266"/>
        <v>0</v>
      </c>
      <c r="AR138" s="81">
        <f t="shared" si="266"/>
        <v>0</v>
      </c>
      <c r="AS138" s="81">
        <f t="shared" si="266"/>
        <v>0</v>
      </c>
      <c r="AT138" s="81">
        <f t="shared" si="266"/>
        <v>0</v>
      </c>
      <c r="AU138" s="81">
        <f t="shared" si="266"/>
        <v>0</v>
      </c>
      <c r="AV138" s="81">
        <f t="shared" si="266"/>
        <v>0</v>
      </c>
      <c r="AW138" s="81">
        <f t="shared" si="266"/>
        <v>0</v>
      </c>
      <c r="AX138" s="81">
        <f t="shared" si="266"/>
        <v>0</v>
      </c>
      <c r="AY138" s="81">
        <f t="shared" si="266"/>
        <v>0</v>
      </c>
      <c r="AZ138" s="81">
        <f t="shared" si="266"/>
        <v>0</v>
      </c>
      <c r="BA138" s="82">
        <f t="shared" si="266"/>
        <v>0</v>
      </c>
      <c r="BB138" s="39" t="str">
        <f t="shared" si="24"/>
        <v>Liste 1</v>
      </c>
      <c r="BC138" s="39"/>
      <c r="BD138" s="39"/>
      <c r="BE138" s="39"/>
      <c r="BF138" s="39"/>
      <c r="BG138" s="39"/>
      <c r="BH138" s="39"/>
      <c r="BI138" s="39"/>
      <c r="BJ138" s="39"/>
      <c r="BK138" s="39"/>
      <c r="BL138" s="39"/>
      <c r="BM138" s="39"/>
    </row>
    <row r="139" spans="1:65" ht="16" x14ac:dyDescent="0.2">
      <c r="A139" s="77">
        <v>123</v>
      </c>
      <c r="B139" s="78">
        <f t="shared" ref="B139:R139" si="267">B$12/(AK138+1)</f>
        <v>0.32758620689655171</v>
      </c>
      <c r="C139" s="78">
        <f t="shared" si="267"/>
        <v>0.33333333333333331</v>
      </c>
      <c r="D139" s="78">
        <f t="shared" si="267"/>
        <v>0</v>
      </c>
      <c r="E139" s="78">
        <f t="shared" si="267"/>
        <v>0</v>
      </c>
      <c r="F139" s="78">
        <f t="shared" si="267"/>
        <v>0</v>
      </c>
      <c r="G139" s="78">
        <f t="shared" si="267"/>
        <v>0</v>
      </c>
      <c r="H139" s="78">
        <f t="shared" si="267"/>
        <v>0</v>
      </c>
      <c r="I139" s="78">
        <f t="shared" si="267"/>
        <v>0</v>
      </c>
      <c r="J139" s="78">
        <f t="shared" si="267"/>
        <v>0</v>
      </c>
      <c r="K139" s="78">
        <f t="shared" si="267"/>
        <v>0</v>
      </c>
      <c r="L139" s="78">
        <f t="shared" si="267"/>
        <v>0</v>
      </c>
      <c r="M139" s="78">
        <f t="shared" si="267"/>
        <v>0</v>
      </c>
      <c r="N139" s="78">
        <f t="shared" si="267"/>
        <v>0</v>
      </c>
      <c r="O139" s="78">
        <f t="shared" si="267"/>
        <v>0</v>
      </c>
      <c r="P139" s="78">
        <f t="shared" si="267"/>
        <v>0</v>
      </c>
      <c r="Q139" s="78">
        <f t="shared" si="267"/>
        <v>0</v>
      </c>
      <c r="R139" s="79">
        <f t="shared" si="267"/>
        <v>0</v>
      </c>
      <c r="S139" s="79">
        <f t="shared" si="5"/>
        <v>0.33333333333333331</v>
      </c>
      <c r="T139" s="80">
        <f t="shared" si="6"/>
        <v>0</v>
      </c>
      <c r="U139" s="80">
        <f t="shared" si="7"/>
        <v>1</v>
      </c>
      <c r="V139" s="80">
        <f t="shared" si="8"/>
        <v>0</v>
      </c>
      <c r="W139" s="80">
        <f t="shared" si="9"/>
        <v>0</v>
      </c>
      <c r="X139" s="80">
        <f t="shared" si="10"/>
        <v>0</v>
      </c>
      <c r="Y139" s="80">
        <f t="shared" si="11"/>
        <v>0</v>
      </c>
      <c r="Z139" s="80">
        <f t="shared" si="12"/>
        <v>0</v>
      </c>
      <c r="AA139" s="80">
        <f t="shared" si="13"/>
        <v>0</v>
      </c>
      <c r="AB139" s="80">
        <f t="shared" si="14"/>
        <v>0</v>
      </c>
      <c r="AC139" s="80">
        <f t="shared" si="15"/>
        <v>0</v>
      </c>
      <c r="AD139" s="80">
        <f t="shared" si="16"/>
        <v>0</v>
      </c>
      <c r="AE139" s="80">
        <f t="shared" si="17"/>
        <v>0</v>
      </c>
      <c r="AF139" s="80">
        <f t="shared" si="18"/>
        <v>0</v>
      </c>
      <c r="AG139" s="80">
        <f t="shared" si="19"/>
        <v>0</v>
      </c>
      <c r="AH139" s="80">
        <f t="shared" si="20"/>
        <v>0</v>
      </c>
      <c r="AI139" s="80">
        <f t="shared" si="21"/>
        <v>0</v>
      </c>
      <c r="AJ139" s="80">
        <f t="shared" si="22"/>
        <v>0</v>
      </c>
      <c r="AK139" s="80">
        <f t="shared" ref="AK139:BA139" si="268">T139+AK138</f>
        <v>57</v>
      </c>
      <c r="AL139" s="81">
        <f t="shared" si="268"/>
        <v>66</v>
      </c>
      <c r="AM139" s="81">
        <f t="shared" si="268"/>
        <v>0</v>
      </c>
      <c r="AN139" s="81">
        <f t="shared" si="268"/>
        <v>0</v>
      </c>
      <c r="AO139" s="81">
        <f t="shared" si="268"/>
        <v>0</v>
      </c>
      <c r="AP139" s="81">
        <f t="shared" si="268"/>
        <v>0</v>
      </c>
      <c r="AQ139" s="81">
        <f t="shared" si="268"/>
        <v>0</v>
      </c>
      <c r="AR139" s="81">
        <f t="shared" si="268"/>
        <v>0</v>
      </c>
      <c r="AS139" s="81">
        <f t="shared" si="268"/>
        <v>0</v>
      </c>
      <c r="AT139" s="81">
        <f t="shared" si="268"/>
        <v>0</v>
      </c>
      <c r="AU139" s="81">
        <f t="shared" si="268"/>
        <v>0</v>
      </c>
      <c r="AV139" s="81">
        <f t="shared" si="268"/>
        <v>0</v>
      </c>
      <c r="AW139" s="81">
        <f t="shared" si="268"/>
        <v>0</v>
      </c>
      <c r="AX139" s="81">
        <f t="shared" si="268"/>
        <v>0</v>
      </c>
      <c r="AY139" s="81">
        <f t="shared" si="268"/>
        <v>0</v>
      </c>
      <c r="AZ139" s="81">
        <f t="shared" si="268"/>
        <v>0</v>
      </c>
      <c r="BA139" s="82">
        <f t="shared" si="268"/>
        <v>0</v>
      </c>
      <c r="BB139" s="39" t="str">
        <f t="shared" si="24"/>
        <v>Liste 2</v>
      </c>
      <c r="BC139" s="39"/>
      <c r="BD139" s="39"/>
      <c r="BE139" s="39"/>
      <c r="BF139" s="39"/>
      <c r="BG139" s="39"/>
      <c r="BH139" s="39"/>
      <c r="BI139" s="39"/>
      <c r="BJ139" s="39"/>
      <c r="BK139" s="39"/>
      <c r="BL139" s="39"/>
      <c r="BM139" s="39"/>
    </row>
    <row r="140" spans="1:65" ht="16" x14ac:dyDescent="0.2">
      <c r="A140" s="77">
        <v>124</v>
      </c>
      <c r="B140" s="78">
        <f t="shared" ref="B140:R140" si="269">B$12/(AK139+1)</f>
        <v>0.32758620689655171</v>
      </c>
      <c r="C140" s="78">
        <f t="shared" si="269"/>
        <v>0.32835820895522388</v>
      </c>
      <c r="D140" s="78">
        <f t="shared" si="269"/>
        <v>0</v>
      </c>
      <c r="E140" s="78">
        <f t="shared" si="269"/>
        <v>0</v>
      </c>
      <c r="F140" s="78">
        <f t="shared" si="269"/>
        <v>0</v>
      </c>
      <c r="G140" s="78">
        <f t="shared" si="269"/>
        <v>0</v>
      </c>
      <c r="H140" s="78">
        <f t="shared" si="269"/>
        <v>0</v>
      </c>
      <c r="I140" s="78">
        <f t="shared" si="269"/>
        <v>0</v>
      </c>
      <c r="J140" s="78">
        <f t="shared" si="269"/>
        <v>0</v>
      </c>
      <c r="K140" s="78">
        <f t="shared" si="269"/>
        <v>0</v>
      </c>
      <c r="L140" s="78">
        <f t="shared" si="269"/>
        <v>0</v>
      </c>
      <c r="M140" s="78">
        <f t="shared" si="269"/>
        <v>0</v>
      </c>
      <c r="N140" s="78">
        <f t="shared" si="269"/>
        <v>0</v>
      </c>
      <c r="O140" s="78">
        <f t="shared" si="269"/>
        <v>0</v>
      </c>
      <c r="P140" s="78">
        <f t="shared" si="269"/>
        <v>0</v>
      </c>
      <c r="Q140" s="78">
        <f t="shared" si="269"/>
        <v>0</v>
      </c>
      <c r="R140" s="79">
        <f t="shared" si="269"/>
        <v>0</v>
      </c>
      <c r="S140" s="79">
        <f t="shared" si="5"/>
        <v>0.32835820895522388</v>
      </c>
      <c r="T140" s="80">
        <f t="shared" si="6"/>
        <v>0</v>
      </c>
      <c r="U140" s="80">
        <f t="shared" si="7"/>
        <v>1</v>
      </c>
      <c r="V140" s="80">
        <f t="shared" si="8"/>
        <v>0</v>
      </c>
      <c r="W140" s="80">
        <f t="shared" si="9"/>
        <v>0</v>
      </c>
      <c r="X140" s="80">
        <f t="shared" si="10"/>
        <v>0</v>
      </c>
      <c r="Y140" s="80">
        <f t="shared" si="11"/>
        <v>0</v>
      </c>
      <c r="Z140" s="80">
        <f t="shared" si="12"/>
        <v>0</v>
      </c>
      <c r="AA140" s="80">
        <f t="shared" si="13"/>
        <v>0</v>
      </c>
      <c r="AB140" s="80">
        <f t="shared" si="14"/>
        <v>0</v>
      </c>
      <c r="AC140" s="80">
        <f t="shared" si="15"/>
        <v>0</v>
      </c>
      <c r="AD140" s="80">
        <f t="shared" si="16"/>
        <v>0</v>
      </c>
      <c r="AE140" s="80">
        <f t="shared" si="17"/>
        <v>0</v>
      </c>
      <c r="AF140" s="80">
        <f t="shared" si="18"/>
        <v>0</v>
      </c>
      <c r="AG140" s="80">
        <f t="shared" si="19"/>
        <v>0</v>
      </c>
      <c r="AH140" s="80">
        <f t="shared" si="20"/>
        <v>0</v>
      </c>
      <c r="AI140" s="80">
        <f t="shared" si="21"/>
        <v>0</v>
      </c>
      <c r="AJ140" s="80">
        <f t="shared" si="22"/>
        <v>0</v>
      </c>
      <c r="AK140" s="80">
        <f t="shared" ref="AK140:BA140" si="270">T140+AK139</f>
        <v>57</v>
      </c>
      <c r="AL140" s="81">
        <f t="shared" si="270"/>
        <v>67</v>
      </c>
      <c r="AM140" s="81">
        <f t="shared" si="270"/>
        <v>0</v>
      </c>
      <c r="AN140" s="81">
        <f t="shared" si="270"/>
        <v>0</v>
      </c>
      <c r="AO140" s="81">
        <f t="shared" si="270"/>
        <v>0</v>
      </c>
      <c r="AP140" s="81">
        <f t="shared" si="270"/>
        <v>0</v>
      </c>
      <c r="AQ140" s="81">
        <f t="shared" si="270"/>
        <v>0</v>
      </c>
      <c r="AR140" s="81">
        <f t="shared" si="270"/>
        <v>0</v>
      </c>
      <c r="AS140" s="81">
        <f t="shared" si="270"/>
        <v>0</v>
      </c>
      <c r="AT140" s="81">
        <f t="shared" si="270"/>
        <v>0</v>
      </c>
      <c r="AU140" s="81">
        <f t="shared" si="270"/>
        <v>0</v>
      </c>
      <c r="AV140" s="81">
        <f t="shared" si="270"/>
        <v>0</v>
      </c>
      <c r="AW140" s="81">
        <f t="shared" si="270"/>
        <v>0</v>
      </c>
      <c r="AX140" s="81">
        <f t="shared" si="270"/>
        <v>0</v>
      </c>
      <c r="AY140" s="81">
        <f t="shared" si="270"/>
        <v>0</v>
      </c>
      <c r="AZ140" s="81">
        <f t="shared" si="270"/>
        <v>0</v>
      </c>
      <c r="BA140" s="82">
        <f t="shared" si="270"/>
        <v>0</v>
      </c>
      <c r="BB140" s="39" t="str">
        <f t="shared" si="24"/>
        <v>Liste 2</v>
      </c>
      <c r="BC140" s="39"/>
      <c r="BD140" s="39"/>
      <c r="BE140" s="39"/>
      <c r="BF140" s="39"/>
      <c r="BG140" s="39"/>
      <c r="BH140" s="39"/>
      <c r="BI140" s="39"/>
      <c r="BJ140" s="39"/>
      <c r="BK140" s="39"/>
      <c r="BL140" s="39"/>
      <c r="BM140" s="39"/>
    </row>
    <row r="141" spans="1:65" ht="16" x14ac:dyDescent="0.2">
      <c r="A141" s="77">
        <v>125</v>
      </c>
      <c r="B141" s="78">
        <f t="shared" ref="B141:R141" si="271">B$12/(AK140+1)</f>
        <v>0.32758620689655171</v>
      </c>
      <c r="C141" s="78">
        <f t="shared" si="271"/>
        <v>0.3235294117647059</v>
      </c>
      <c r="D141" s="78">
        <f t="shared" si="271"/>
        <v>0</v>
      </c>
      <c r="E141" s="78">
        <f t="shared" si="271"/>
        <v>0</v>
      </c>
      <c r="F141" s="78">
        <f t="shared" si="271"/>
        <v>0</v>
      </c>
      <c r="G141" s="78">
        <f t="shared" si="271"/>
        <v>0</v>
      </c>
      <c r="H141" s="78">
        <f t="shared" si="271"/>
        <v>0</v>
      </c>
      <c r="I141" s="78">
        <f t="shared" si="271"/>
        <v>0</v>
      </c>
      <c r="J141" s="78">
        <f t="shared" si="271"/>
        <v>0</v>
      </c>
      <c r="K141" s="78">
        <f t="shared" si="271"/>
        <v>0</v>
      </c>
      <c r="L141" s="78">
        <f t="shared" si="271"/>
        <v>0</v>
      </c>
      <c r="M141" s="78">
        <f t="shared" si="271"/>
        <v>0</v>
      </c>
      <c r="N141" s="78">
        <f t="shared" si="271"/>
        <v>0</v>
      </c>
      <c r="O141" s="78">
        <f t="shared" si="271"/>
        <v>0</v>
      </c>
      <c r="P141" s="78">
        <f t="shared" si="271"/>
        <v>0</v>
      </c>
      <c r="Q141" s="78">
        <f t="shared" si="271"/>
        <v>0</v>
      </c>
      <c r="R141" s="79">
        <f t="shared" si="271"/>
        <v>0</v>
      </c>
      <c r="S141" s="79">
        <f t="shared" si="5"/>
        <v>0.32758620689655171</v>
      </c>
      <c r="T141" s="80">
        <f t="shared" si="6"/>
        <v>1</v>
      </c>
      <c r="U141" s="80">
        <f t="shared" si="7"/>
        <v>0</v>
      </c>
      <c r="V141" s="80">
        <f t="shared" si="8"/>
        <v>0</v>
      </c>
      <c r="W141" s="80">
        <f t="shared" si="9"/>
        <v>0</v>
      </c>
      <c r="X141" s="80">
        <f t="shared" si="10"/>
        <v>0</v>
      </c>
      <c r="Y141" s="80">
        <f t="shared" si="11"/>
        <v>0</v>
      </c>
      <c r="Z141" s="80">
        <f t="shared" si="12"/>
        <v>0</v>
      </c>
      <c r="AA141" s="80">
        <f t="shared" si="13"/>
        <v>0</v>
      </c>
      <c r="AB141" s="80">
        <f t="shared" si="14"/>
        <v>0</v>
      </c>
      <c r="AC141" s="80">
        <f t="shared" si="15"/>
        <v>0</v>
      </c>
      <c r="AD141" s="80">
        <f t="shared" si="16"/>
        <v>0</v>
      </c>
      <c r="AE141" s="80">
        <f t="shared" si="17"/>
        <v>0</v>
      </c>
      <c r="AF141" s="80">
        <f t="shared" si="18"/>
        <v>0</v>
      </c>
      <c r="AG141" s="80">
        <f t="shared" si="19"/>
        <v>0</v>
      </c>
      <c r="AH141" s="80">
        <f t="shared" si="20"/>
        <v>0</v>
      </c>
      <c r="AI141" s="80">
        <f t="shared" si="21"/>
        <v>0</v>
      </c>
      <c r="AJ141" s="80">
        <f t="shared" si="22"/>
        <v>0</v>
      </c>
      <c r="AK141" s="80">
        <f t="shared" ref="AK141:BA141" si="272">T141+AK140</f>
        <v>58</v>
      </c>
      <c r="AL141" s="81">
        <f t="shared" si="272"/>
        <v>67</v>
      </c>
      <c r="AM141" s="81">
        <f t="shared" si="272"/>
        <v>0</v>
      </c>
      <c r="AN141" s="81">
        <f t="shared" si="272"/>
        <v>0</v>
      </c>
      <c r="AO141" s="81">
        <f t="shared" si="272"/>
        <v>0</v>
      </c>
      <c r="AP141" s="81">
        <f t="shared" si="272"/>
        <v>0</v>
      </c>
      <c r="AQ141" s="81">
        <f t="shared" si="272"/>
        <v>0</v>
      </c>
      <c r="AR141" s="81">
        <f t="shared" si="272"/>
        <v>0</v>
      </c>
      <c r="AS141" s="81">
        <f t="shared" si="272"/>
        <v>0</v>
      </c>
      <c r="AT141" s="81">
        <f t="shared" si="272"/>
        <v>0</v>
      </c>
      <c r="AU141" s="81">
        <f t="shared" si="272"/>
        <v>0</v>
      </c>
      <c r="AV141" s="81">
        <f t="shared" si="272"/>
        <v>0</v>
      </c>
      <c r="AW141" s="81">
        <f t="shared" si="272"/>
        <v>0</v>
      </c>
      <c r="AX141" s="81">
        <f t="shared" si="272"/>
        <v>0</v>
      </c>
      <c r="AY141" s="81">
        <f t="shared" si="272"/>
        <v>0</v>
      </c>
      <c r="AZ141" s="81">
        <f t="shared" si="272"/>
        <v>0</v>
      </c>
      <c r="BA141" s="82">
        <f t="shared" si="272"/>
        <v>0</v>
      </c>
      <c r="BB141" s="39" t="str">
        <f t="shared" si="24"/>
        <v>Liste 1</v>
      </c>
      <c r="BC141" s="39"/>
      <c r="BD141" s="39"/>
      <c r="BE141" s="39"/>
      <c r="BF141" s="39"/>
      <c r="BG141" s="39"/>
      <c r="BH141" s="39"/>
      <c r="BI141" s="39"/>
      <c r="BJ141" s="39"/>
      <c r="BK141" s="39"/>
      <c r="BL141" s="39"/>
      <c r="BM141" s="39"/>
    </row>
    <row r="142" spans="1:65" ht="16" x14ac:dyDescent="0.2">
      <c r="A142" s="77">
        <v>126</v>
      </c>
      <c r="B142" s="78">
        <f t="shared" ref="B142:R142" si="273">B$12/(AK141+1)</f>
        <v>0.32203389830508472</v>
      </c>
      <c r="C142" s="78">
        <f t="shared" si="273"/>
        <v>0.3235294117647059</v>
      </c>
      <c r="D142" s="78">
        <f t="shared" si="273"/>
        <v>0</v>
      </c>
      <c r="E142" s="78">
        <f t="shared" si="273"/>
        <v>0</v>
      </c>
      <c r="F142" s="78">
        <f t="shared" si="273"/>
        <v>0</v>
      </c>
      <c r="G142" s="78">
        <f t="shared" si="273"/>
        <v>0</v>
      </c>
      <c r="H142" s="78">
        <f t="shared" si="273"/>
        <v>0</v>
      </c>
      <c r="I142" s="78">
        <f t="shared" si="273"/>
        <v>0</v>
      </c>
      <c r="J142" s="78">
        <f t="shared" si="273"/>
        <v>0</v>
      </c>
      <c r="K142" s="78">
        <f t="shared" si="273"/>
        <v>0</v>
      </c>
      <c r="L142" s="78">
        <f t="shared" si="273"/>
        <v>0</v>
      </c>
      <c r="M142" s="78">
        <f t="shared" si="273"/>
        <v>0</v>
      </c>
      <c r="N142" s="78">
        <f t="shared" si="273"/>
        <v>0</v>
      </c>
      <c r="O142" s="78">
        <f t="shared" si="273"/>
        <v>0</v>
      </c>
      <c r="P142" s="78">
        <f t="shared" si="273"/>
        <v>0</v>
      </c>
      <c r="Q142" s="78">
        <f t="shared" si="273"/>
        <v>0</v>
      </c>
      <c r="R142" s="79">
        <f t="shared" si="273"/>
        <v>0</v>
      </c>
      <c r="S142" s="79">
        <f t="shared" si="5"/>
        <v>0.3235294117647059</v>
      </c>
      <c r="T142" s="80">
        <f t="shared" si="6"/>
        <v>0</v>
      </c>
      <c r="U142" s="80">
        <f t="shared" si="7"/>
        <v>1</v>
      </c>
      <c r="V142" s="80">
        <f t="shared" si="8"/>
        <v>0</v>
      </c>
      <c r="W142" s="80">
        <f t="shared" si="9"/>
        <v>0</v>
      </c>
      <c r="X142" s="80">
        <f t="shared" si="10"/>
        <v>0</v>
      </c>
      <c r="Y142" s="80">
        <f t="shared" si="11"/>
        <v>0</v>
      </c>
      <c r="Z142" s="80">
        <f t="shared" si="12"/>
        <v>0</v>
      </c>
      <c r="AA142" s="80">
        <f t="shared" si="13"/>
        <v>0</v>
      </c>
      <c r="AB142" s="80">
        <f t="shared" si="14"/>
        <v>0</v>
      </c>
      <c r="AC142" s="80">
        <f t="shared" si="15"/>
        <v>0</v>
      </c>
      <c r="AD142" s="80">
        <f t="shared" si="16"/>
        <v>0</v>
      </c>
      <c r="AE142" s="80">
        <f t="shared" si="17"/>
        <v>0</v>
      </c>
      <c r="AF142" s="80">
        <f t="shared" si="18"/>
        <v>0</v>
      </c>
      <c r="AG142" s="80">
        <f t="shared" si="19"/>
        <v>0</v>
      </c>
      <c r="AH142" s="80">
        <f t="shared" si="20"/>
        <v>0</v>
      </c>
      <c r="AI142" s="80">
        <f t="shared" si="21"/>
        <v>0</v>
      </c>
      <c r="AJ142" s="80">
        <f t="shared" si="22"/>
        <v>0</v>
      </c>
      <c r="AK142" s="80">
        <f t="shared" ref="AK142:BA142" si="274">T142+AK141</f>
        <v>58</v>
      </c>
      <c r="AL142" s="81">
        <f t="shared" si="274"/>
        <v>68</v>
      </c>
      <c r="AM142" s="81">
        <f t="shared" si="274"/>
        <v>0</v>
      </c>
      <c r="AN142" s="81">
        <f t="shared" si="274"/>
        <v>0</v>
      </c>
      <c r="AO142" s="81">
        <f t="shared" si="274"/>
        <v>0</v>
      </c>
      <c r="AP142" s="81">
        <f t="shared" si="274"/>
        <v>0</v>
      </c>
      <c r="AQ142" s="81">
        <f t="shared" si="274"/>
        <v>0</v>
      </c>
      <c r="AR142" s="81">
        <f t="shared" si="274"/>
        <v>0</v>
      </c>
      <c r="AS142" s="81">
        <f t="shared" si="274"/>
        <v>0</v>
      </c>
      <c r="AT142" s="81">
        <f t="shared" si="274"/>
        <v>0</v>
      </c>
      <c r="AU142" s="81">
        <f t="shared" si="274"/>
        <v>0</v>
      </c>
      <c r="AV142" s="81">
        <f t="shared" si="274"/>
        <v>0</v>
      </c>
      <c r="AW142" s="81">
        <f t="shared" si="274"/>
        <v>0</v>
      </c>
      <c r="AX142" s="81">
        <f t="shared" si="274"/>
        <v>0</v>
      </c>
      <c r="AY142" s="81">
        <f t="shared" si="274"/>
        <v>0</v>
      </c>
      <c r="AZ142" s="81">
        <f t="shared" si="274"/>
        <v>0</v>
      </c>
      <c r="BA142" s="82">
        <f t="shared" si="274"/>
        <v>0</v>
      </c>
      <c r="BB142" s="39" t="str">
        <f t="shared" si="24"/>
        <v>Liste 2</v>
      </c>
      <c r="BC142" s="39"/>
      <c r="BD142" s="39"/>
      <c r="BE142" s="39"/>
      <c r="BF142" s="39"/>
      <c r="BG142" s="39"/>
      <c r="BH142" s="39"/>
      <c r="BI142" s="39"/>
      <c r="BJ142" s="39"/>
      <c r="BK142" s="39"/>
      <c r="BL142" s="39"/>
      <c r="BM142" s="39"/>
    </row>
    <row r="143" spans="1:65" ht="16" x14ac:dyDescent="0.2">
      <c r="A143" s="77">
        <v>127</v>
      </c>
      <c r="B143" s="78">
        <f t="shared" ref="B143:R143" si="275">B$12/(AK142+1)</f>
        <v>0.32203389830508472</v>
      </c>
      <c r="C143" s="78">
        <f t="shared" si="275"/>
        <v>0.3188405797101449</v>
      </c>
      <c r="D143" s="78">
        <f t="shared" si="275"/>
        <v>0</v>
      </c>
      <c r="E143" s="78">
        <f t="shared" si="275"/>
        <v>0</v>
      </c>
      <c r="F143" s="78">
        <f t="shared" si="275"/>
        <v>0</v>
      </c>
      <c r="G143" s="78">
        <f t="shared" si="275"/>
        <v>0</v>
      </c>
      <c r="H143" s="78">
        <f t="shared" si="275"/>
        <v>0</v>
      </c>
      <c r="I143" s="78">
        <f t="shared" si="275"/>
        <v>0</v>
      </c>
      <c r="J143" s="78">
        <f t="shared" si="275"/>
        <v>0</v>
      </c>
      <c r="K143" s="78">
        <f t="shared" si="275"/>
        <v>0</v>
      </c>
      <c r="L143" s="78">
        <f t="shared" si="275"/>
        <v>0</v>
      </c>
      <c r="M143" s="78">
        <f t="shared" si="275"/>
        <v>0</v>
      </c>
      <c r="N143" s="78">
        <f t="shared" si="275"/>
        <v>0</v>
      </c>
      <c r="O143" s="78">
        <f t="shared" si="275"/>
        <v>0</v>
      </c>
      <c r="P143" s="78">
        <f t="shared" si="275"/>
        <v>0</v>
      </c>
      <c r="Q143" s="78">
        <f t="shared" si="275"/>
        <v>0</v>
      </c>
      <c r="R143" s="79">
        <f t="shared" si="275"/>
        <v>0</v>
      </c>
      <c r="S143" s="79">
        <f t="shared" si="5"/>
        <v>0.32203389830508472</v>
      </c>
      <c r="T143" s="80">
        <f t="shared" si="6"/>
        <v>1</v>
      </c>
      <c r="U143" s="80">
        <f t="shared" si="7"/>
        <v>0</v>
      </c>
      <c r="V143" s="80">
        <f t="shared" si="8"/>
        <v>0</v>
      </c>
      <c r="W143" s="80">
        <f t="shared" si="9"/>
        <v>0</v>
      </c>
      <c r="X143" s="80">
        <f t="shared" si="10"/>
        <v>0</v>
      </c>
      <c r="Y143" s="80">
        <f t="shared" si="11"/>
        <v>0</v>
      </c>
      <c r="Z143" s="80">
        <f t="shared" si="12"/>
        <v>0</v>
      </c>
      <c r="AA143" s="80">
        <f t="shared" si="13"/>
        <v>0</v>
      </c>
      <c r="AB143" s="80">
        <f t="shared" si="14"/>
        <v>0</v>
      </c>
      <c r="AC143" s="80">
        <f t="shared" si="15"/>
        <v>0</v>
      </c>
      <c r="AD143" s="80">
        <f t="shared" si="16"/>
        <v>0</v>
      </c>
      <c r="AE143" s="80">
        <f t="shared" si="17"/>
        <v>0</v>
      </c>
      <c r="AF143" s="80">
        <f t="shared" si="18"/>
        <v>0</v>
      </c>
      <c r="AG143" s="80">
        <f t="shared" si="19"/>
        <v>0</v>
      </c>
      <c r="AH143" s="80">
        <f t="shared" si="20"/>
        <v>0</v>
      </c>
      <c r="AI143" s="80">
        <f t="shared" si="21"/>
        <v>0</v>
      </c>
      <c r="AJ143" s="80">
        <f t="shared" si="22"/>
        <v>0</v>
      </c>
      <c r="AK143" s="80">
        <f t="shared" ref="AK143:BA143" si="276">T143+AK142</f>
        <v>59</v>
      </c>
      <c r="AL143" s="81">
        <f t="shared" si="276"/>
        <v>68</v>
      </c>
      <c r="AM143" s="81">
        <f t="shared" si="276"/>
        <v>0</v>
      </c>
      <c r="AN143" s="81">
        <f t="shared" si="276"/>
        <v>0</v>
      </c>
      <c r="AO143" s="81">
        <f t="shared" si="276"/>
        <v>0</v>
      </c>
      <c r="AP143" s="81">
        <f t="shared" si="276"/>
        <v>0</v>
      </c>
      <c r="AQ143" s="81">
        <f t="shared" si="276"/>
        <v>0</v>
      </c>
      <c r="AR143" s="81">
        <f t="shared" si="276"/>
        <v>0</v>
      </c>
      <c r="AS143" s="81">
        <f t="shared" si="276"/>
        <v>0</v>
      </c>
      <c r="AT143" s="81">
        <f t="shared" si="276"/>
        <v>0</v>
      </c>
      <c r="AU143" s="81">
        <f t="shared" si="276"/>
        <v>0</v>
      </c>
      <c r="AV143" s="81">
        <f t="shared" si="276"/>
        <v>0</v>
      </c>
      <c r="AW143" s="81">
        <f t="shared" si="276"/>
        <v>0</v>
      </c>
      <c r="AX143" s="81">
        <f t="shared" si="276"/>
        <v>0</v>
      </c>
      <c r="AY143" s="81">
        <f t="shared" si="276"/>
        <v>0</v>
      </c>
      <c r="AZ143" s="81">
        <f t="shared" si="276"/>
        <v>0</v>
      </c>
      <c r="BA143" s="82">
        <f t="shared" si="276"/>
        <v>0</v>
      </c>
      <c r="BB143" s="39" t="str">
        <f t="shared" si="24"/>
        <v>Liste 1</v>
      </c>
      <c r="BC143" s="39"/>
      <c r="BD143" s="39"/>
      <c r="BE143" s="39"/>
      <c r="BF143" s="39"/>
      <c r="BG143" s="39"/>
      <c r="BH143" s="39"/>
      <c r="BI143" s="39"/>
      <c r="BJ143" s="39"/>
      <c r="BK143" s="39"/>
      <c r="BL143" s="39"/>
      <c r="BM143" s="39"/>
    </row>
    <row r="144" spans="1:65" ht="16" x14ac:dyDescent="0.2">
      <c r="A144" s="77">
        <v>128</v>
      </c>
      <c r="B144" s="78">
        <f t="shared" ref="B144:R144" si="277">B$12/(AK143+1)</f>
        <v>0.31666666666666665</v>
      </c>
      <c r="C144" s="78">
        <f t="shared" si="277"/>
        <v>0.3188405797101449</v>
      </c>
      <c r="D144" s="78">
        <f t="shared" si="277"/>
        <v>0</v>
      </c>
      <c r="E144" s="78">
        <f t="shared" si="277"/>
        <v>0</v>
      </c>
      <c r="F144" s="78">
        <f t="shared" si="277"/>
        <v>0</v>
      </c>
      <c r="G144" s="78">
        <f t="shared" si="277"/>
        <v>0</v>
      </c>
      <c r="H144" s="78">
        <f t="shared" si="277"/>
        <v>0</v>
      </c>
      <c r="I144" s="78">
        <f t="shared" si="277"/>
        <v>0</v>
      </c>
      <c r="J144" s="78">
        <f t="shared" si="277"/>
        <v>0</v>
      </c>
      <c r="K144" s="78">
        <f t="shared" si="277"/>
        <v>0</v>
      </c>
      <c r="L144" s="78">
        <f t="shared" si="277"/>
        <v>0</v>
      </c>
      <c r="M144" s="78">
        <f t="shared" si="277"/>
        <v>0</v>
      </c>
      <c r="N144" s="78">
        <f t="shared" si="277"/>
        <v>0</v>
      </c>
      <c r="O144" s="78">
        <f t="shared" si="277"/>
        <v>0</v>
      </c>
      <c r="P144" s="78">
        <f t="shared" si="277"/>
        <v>0</v>
      </c>
      <c r="Q144" s="78">
        <f t="shared" si="277"/>
        <v>0</v>
      </c>
      <c r="R144" s="79">
        <f t="shared" si="277"/>
        <v>0</v>
      </c>
      <c r="S144" s="79">
        <f t="shared" si="5"/>
        <v>0.3188405797101449</v>
      </c>
      <c r="T144" s="80">
        <f t="shared" si="6"/>
        <v>0</v>
      </c>
      <c r="U144" s="80">
        <f t="shared" si="7"/>
        <v>1</v>
      </c>
      <c r="V144" s="80">
        <f t="shared" si="8"/>
        <v>0</v>
      </c>
      <c r="W144" s="80">
        <f t="shared" si="9"/>
        <v>0</v>
      </c>
      <c r="X144" s="80">
        <f t="shared" si="10"/>
        <v>0</v>
      </c>
      <c r="Y144" s="80">
        <f t="shared" si="11"/>
        <v>0</v>
      </c>
      <c r="Z144" s="80">
        <f t="shared" si="12"/>
        <v>0</v>
      </c>
      <c r="AA144" s="80">
        <f t="shared" si="13"/>
        <v>0</v>
      </c>
      <c r="AB144" s="80">
        <f t="shared" si="14"/>
        <v>0</v>
      </c>
      <c r="AC144" s="80">
        <f t="shared" si="15"/>
        <v>0</v>
      </c>
      <c r="AD144" s="80">
        <f t="shared" si="16"/>
        <v>0</v>
      </c>
      <c r="AE144" s="80">
        <f t="shared" si="17"/>
        <v>0</v>
      </c>
      <c r="AF144" s="80">
        <f t="shared" si="18"/>
        <v>0</v>
      </c>
      <c r="AG144" s="80">
        <f t="shared" si="19"/>
        <v>0</v>
      </c>
      <c r="AH144" s="80">
        <f t="shared" si="20"/>
        <v>0</v>
      </c>
      <c r="AI144" s="80">
        <f t="shared" si="21"/>
        <v>0</v>
      </c>
      <c r="AJ144" s="80">
        <f t="shared" si="22"/>
        <v>0</v>
      </c>
      <c r="AK144" s="80">
        <f t="shared" ref="AK144:BA144" si="278">T144+AK143</f>
        <v>59</v>
      </c>
      <c r="AL144" s="81">
        <f t="shared" si="278"/>
        <v>69</v>
      </c>
      <c r="AM144" s="81">
        <f t="shared" si="278"/>
        <v>0</v>
      </c>
      <c r="AN144" s="81">
        <f t="shared" si="278"/>
        <v>0</v>
      </c>
      <c r="AO144" s="81">
        <f t="shared" si="278"/>
        <v>0</v>
      </c>
      <c r="AP144" s="81">
        <f t="shared" si="278"/>
        <v>0</v>
      </c>
      <c r="AQ144" s="81">
        <f t="shared" si="278"/>
        <v>0</v>
      </c>
      <c r="AR144" s="81">
        <f t="shared" si="278"/>
        <v>0</v>
      </c>
      <c r="AS144" s="81">
        <f t="shared" si="278"/>
        <v>0</v>
      </c>
      <c r="AT144" s="81">
        <f t="shared" si="278"/>
        <v>0</v>
      </c>
      <c r="AU144" s="81">
        <f t="shared" si="278"/>
        <v>0</v>
      </c>
      <c r="AV144" s="81">
        <f t="shared" si="278"/>
        <v>0</v>
      </c>
      <c r="AW144" s="81">
        <f t="shared" si="278"/>
        <v>0</v>
      </c>
      <c r="AX144" s="81">
        <f t="shared" si="278"/>
        <v>0</v>
      </c>
      <c r="AY144" s="81">
        <f t="shared" si="278"/>
        <v>0</v>
      </c>
      <c r="AZ144" s="81">
        <f t="shared" si="278"/>
        <v>0</v>
      </c>
      <c r="BA144" s="82">
        <f t="shared" si="278"/>
        <v>0</v>
      </c>
      <c r="BB144" s="39" t="str">
        <f t="shared" si="24"/>
        <v>Liste 2</v>
      </c>
      <c r="BC144" s="39"/>
      <c r="BD144" s="39"/>
      <c r="BE144" s="39"/>
      <c r="BF144" s="39"/>
      <c r="BG144" s="39"/>
      <c r="BH144" s="39"/>
      <c r="BI144" s="39"/>
      <c r="BJ144" s="39"/>
      <c r="BK144" s="39"/>
      <c r="BL144" s="39"/>
      <c r="BM144" s="39"/>
    </row>
    <row r="145" spans="1:65" ht="16" x14ac:dyDescent="0.2">
      <c r="A145" s="77">
        <v>129</v>
      </c>
      <c r="B145" s="78">
        <f t="shared" ref="B145:R145" si="279">B$12/(AK144+1)</f>
        <v>0.31666666666666665</v>
      </c>
      <c r="C145" s="78">
        <f t="shared" si="279"/>
        <v>0.31428571428571428</v>
      </c>
      <c r="D145" s="78">
        <f t="shared" si="279"/>
        <v>0</v>
      </c>
      <c r="E145" s="78">
        <f t="shared" si="279"/>
        <v>0</v>
      </c>
      <c r="F145" s="78">
        <f t="shared" si="279"/>
        <v>0</v>
      </c>
      <c r="G145" s="78">
        <f t="shared" si="279"/>
        <v>0</v>
      </c>
      <c r="H145" s="78">
        <f t="shared" si="279"/>
        <v>0</v>
      </c>
      <c r="I145" s="78">
        <f t="shared" si="279"/>
        <v>0</v>
      </c>
      <c r="J145" s="78">
        <f t="shared" si="279"/>
        <v>0</v>
      </c>
      <c r="K145" s="78">
        <f t="shared" si="279"/>
        <v>0</v>
      </c>
      <c r="L145" s="78">
        <f t="shared" si="279"/>
        <v>0</v>
      </c>
      <c r="M145" s="78">
        <f t="shared" si="279"/>
        <v>0</v>
      </c>
      <c r="N145" s="78">
        <f t="shared" si="279"/>
        <v>0</v>
      </c>
      <c r="O145" s="78">
        <f t="shared" si="279"/>
        <v>0</v>
      </c>
      <c r="P145" s="78">
        <f t="shared" si="279"/>
        <v>0</v>
      </c>
      <c r="Q145" s="78">
        <f t="shared" si="279"/>
        <v>0</v>
      </c>
      <c r="R145" s="79">
        <f t="shared" si="279"/>
        <v>0</v>
      </c>
      <c r="S145" s="79">
        <f t="shared" si="5"/>
        <v>0.31666666666666665</v>
      </c>
      <c r="T145" s="80">
        <f t="shared" si="6"/>
        <v>1</v>
      </c>
      <c r="U145" s="80">
        <f t="shared" si="7"/>
        <v>0</v>
      </c>
      <c r="V145" s="80">
        <f t="shared" si="8"/>
        <v>0</v>
      </c>
      <c r="W145" s="80">
        <f t="shared" si="9"/>
        <v>0</v>
      </c>
      <c r="X145" s="80">
        <f t="shared" si="10"/>
        <v>0</v>
      </c>
      <c r="Y145" s="80">
        <f t="shared" si="11"/>
        <v>0</v>
      </c>
      <c r="Z145" s="80">
        <f t="shared" si="12"/>
        <v>0</v>
      </c>
      <c r="AA145" s="80">
        <f t="shared" si="13"/>
        <v>0</v>
      </c>
      <c r="AB145" s="80">
        <f t="shared" si="14"/>
        <v>0</v>
      </c>
      <c r="AC145" s="80">
        <f t="shared" si="15"/>
        <v>0</v>
      </c>
      <c r="AD145" s="80">
        <f t="shared" si="16"/>
        <v>0</v>
      </c>
      <c r="AE145" s="80">
        <f t="shared" si="17"/>
        <v>0</v>
      </c>
      <c r="AF145" s="80">
        <f t="shared" si="18"/>
        <v>0</v>
      </c>
      <c r="AG145" s="80">
        <f t="shared" si="19"/>
        <v>0</v>
      </c>
      <c r="AH145" s="80">
        <f t="shared" si="20"/>
        <v>0</v>
      </c>
      <c r="AI145" s="80">
        <f t="shared" si="21"/>
        <v>0</v>
      </c>
      <c r="AJ145" s="80">
        <f t="shared" si="22"/>
        <v>0</v>
      </c>
      <c r="AK145" s="80">
        <f t="shared" ref="AK145:BA145" si="280">T145+AK144</f>
        <v>60</v>
      </c>
      <c r="AL145" s="81">
        <f t="shared" si="280"/>
        <v>69</v>
      </c>
      <c r="AM145" s="81">
        <f t="shared" si="280"/>
        <v>0</v>
      </c>
      <c r="AN145" s="81">
        <f t="shared" si="280"/>
        <v>0</v>
      </c>
      <c r="AO145" s="81">
        <f t="shared" si="280"/>
        <v>0</v>
      </c>
      <c r="AP145" s="81">
        <f t="shared" si="280"/>
        <v>0</v>
      </c>
      <c r="AQ145" s="81">
        <f t="shared" si="280"/>
        <v>0</v>
      </c>
      <c r="AR145" s="81">
        <f t="shared" si="280"/>
        <v>0</v>
      </c>
      <c r="AS145" s="81">
        <f t="shared" si="280"/>
        <v>0</v>
      </c>
      <c r="AT145" s="81">
        <f t="shared" si="280"/>
        <v>0</v>
      </c>
      <c r="AU145" s="81">
        <f t="shared" si="280"/>
        <v>0</v>
      </c>
      <c r="AV145" s="81">
        <f t="shared" si="280"/>
        <v>0</v>
      </c>
      <c r="AW145" s="81">
        <f t="shared" si="280"/>
        <v>0</v>
      </c>
      <c r="AX145" s="81">
        <f t="shared" si="280"/>
        <v>0</v>
      </c>
      <c r="AY145" s="81">
        <f t="shared" si="280"/>
        <v>0</v>
      </c>
      <c r="AZ145" s="81">
        <f t="shared" si="280"/>
        <v>0</v>
      </c>
      <c r="BA145" s="82">
        <f t="shared" si="280"/>
        <v>0</v>
      </c>
      <c r="BB145" s="39" t="str">
        <f t="shared" si="24"/>
        <v>Liste 1</v>
      </c>
      <c r="BC145" s="39"/>
      <c r="BD145" s="39"/>
      <c r="BE145" s="39"/>
      <c r="BF145" s="39"/>
      <c r="BG145" s="39"/>
      <c r="BH145" s="39"/>
      <c r="BI145" s="39"/>
      <c r="BJ145" s="39"/>
      <c r="BK145" s="39"/>
      <c r="BL145" s="39"/>
      <c r="BM145" s="39"/>
    </row>
    <row r="146" spans="1:65" ht="16" x14ac:dyDescent="0.2">
      <c r="A146" s="77">
        <v>130</v>
      </c>
      <c r="B146" s="78">
        <f t="shared" ref="B146:R146" si="281">B$12/(AK145+1)</f>
        <v>0.31147540983606559</v>
      </c>
      <c r="C146" s="78">
        <f t="shared" si="281"/>
        <v>0.31428571428571428</v>
      </c>
      <c r="D146" s="78">
        <f t="shared" si="281"/>
        <v>0</v>
      </c>
      <c r="E146" s="78">
        <f t="shared" si="281"/>
        <v>0</v>
      </c>
      <c r="F146" s="78">
        <f t="shared" si="281"/>
        <v>0</v>
      </c>
      <c r="G146" s="78">
        <f t="shared" si="281"/>
        <v>0</v>
      </c>
      <c r="H146" s="78">
        <f t="shared" si="281"/>
        <v>0</v>
      </c>
      <c r="I146" s="78">
        <f t="shared" si="281"/>
        <v>0</v>
      </c>
      <c r="J146" s="78">
        <f t="shared" si="281"/>
        <v>0</v>
      </c>
      <c r="K146" s="78">
        <f t="shared" si="281"/>
        <v>0</v>
      </c>
      <c r="L146" s="78">
        <f t="shared" si="281"/>
        <v>0</v>
      </c>
      <c r="M146" s="78">
        <f t="shared" si="281"/>
        <v>0</v>
      </c>
      <c r="N146" s="78">
        <f t="shared" si="281"/>
        <v>0</v>
      </c>
      <c r="O146" s="78">
        <f t="shared" si="281"/>
        <v>0</v>
      </c>
      <c r="P146" s="78">
        <f t="shared" si="281"/>
        <v>0</v>
      </c>
      <c r="Q146" s="78">
        <f t="shared" si="281"/>
        <v>0</v>
      </c>
      <c r="R146" s="79">
        <f t="shared" si="281"/>
        <v>0</v>
      </c>
      <c r="S146" s="79">
        <f t="shared" si="5"/>
        <v>0.31428571428571428</v>
      </c>
      <c r="T146" s="80">
        <f t="shared" si="6"/>
        <v>0</v>
      </c>
      <c r="U146" s="80">
        <f t="shared" si="7"/>
        <v>1</v>
      </c>
      <c r="V146" s="80">
        <f t="shared" si="8"/>
        <v>0</v>
      </c>
      <c r="W146" s="80">
        <f t="shared" si="9"/>
        <v>0</v>
      </c>
      <c r="X146" s="80">
        <f t="shared" si="10"/>
        <v>0</v>
      </c>
      <c r="Y146" s="80">
        <f t="shared" si="11"/>
        <v>0</v>
      </c>
      <c r="Z146" s="80">
        <f t="shared" si="12"/>
        <v>0</v>
      </c>
      <c r="AA146" s="80">
        <f t="shared" si="13"/>
        <v>0</v>
      </c>
      <c r="AB146" s="80">
        <f t="shared" si="14"/>
        <v>0</v>
      </c>
      <c r="AC146" s="80">
        <f t="shared" si="15"/>
        <v>0</v>
      </c>
      <c r="AD146" s="80">
        <f t="shared" si="16"/>
        <v>0</v>
      </c>
      <c r="AE146" s="80">
        <f t="shared" si="17"/>
        <v>0</v>
      </c>
      <c r="AF146" s="80">
        <f t="shared" si="18"/>
        <v>0</v>
      </c>
      <c r="AG146" s="80">
        <f t="shared" si="19"/>
        <v>0</v>
      </c>
      <c r="AH146" s="80">
        <f t="shared" si="20"/>
        <v>0</v>
      </c>
      <c r="AI146" s="80">
        <f t="shared" si="21"/>
        <v>0</v>
      </c>
      <c r="AJ146" s="80">
        <f t="shared" si="22"/>
        <v>0</v>
      </c>
      <c r="AK146" s="80">
        <f t="shared" ref="AK146:BA146" si="282">T146+AK145</f>
        <v>60</v>
      </c>
      <c r="AL146" s="81">
        <f t="shared" si="282"/>
        <v>70</v>
      </c>
      <c r="AM146" s="81">
        <f t="shared" si="282"/>
        <v>0</v>
      </c>
      <c r="AN146" s="81">
        <f t="shared" si="282"/>
        <v>0</v>
      </c>
      <c r="AO146" s="81">
        <f t="shared" si="282"/>
        <v>0</v>
      </c>
      <c r="AP146" s="81">
        <f t="shared" si="282"/>
        <v>0</v>
      </c>
      <c r="AQ146" s="81">
        <f t="shared" si="282"/>
        <v>0</v>
      </c>
      <c r="AR146" s="81">
        <f t="shared" si="282"/>
        <v>0</v>
      </c>
      <c r="AS146" s="81">
        <f t="shared" si="282"/>
        <v>0</v>
      </c>
      <c r="AT146" s="81">
        <f t="shared" si="282"/>
        <v>0</v>
      </c>
      <c r="AU146" s="81">
        <f t="shared" si="282"/>
        <v>0</v>
      </c>
      <c r="AV146" s="81">
        <f t="shared" si="282"/>
        <v>0</v>
      </c>
      <c r="AW146" s="81">
        <f t="shared" si="282"/>
        <v>0</v>
      </c>
      <c r="AX146" s="81">
        <f t="shared" si="282"/>
        <v>0</v>
      </c>
      <c r="AY146" s="81">
        <f t="shared" si="282"/>
        <v>0</v>
      </c>
      <c r="AZ146" s="81">
        <f t="shared" si="282"/>
        <v>0</v>
      </c>
      <c r="BA146" s="82">
        <f t="shared" si="282"/>
        <v>0</v>
      </c>
      <c r="BB146" s="39" t="str">
        <f t="shared" si="24"/>
        <v>Liste 2</v>
      </c>
      <c r="BC146" s="39"/>
      <c r="BD146" s="39"/>
      <c r="BE146" s="39"/>
      <c r="BF146" s="39"/>
      <c r="BG146" s="39"/>
      <c r="BH146" s="39"/>
      <c r="BI146" s="39"/>
      <c r="BJ146" s="39"/>
      <c r="BK146" s="39"/>
      <c r="BL146" s="39"/>
      <c r="BM146" s="39"/>
    </row>
    <row r="147" spans="1:65" ht="16" x14ac:dyDescent="0.2">
      <c r="A147" s="77">
        <v>131</v>
      </c>
      <c r="B147" s="78">
        <f t="shared" ref="B147:R147" si="283">B$12/(AK146+1)</f>
        <v>0.31147540983606559</v>
      </c>
      <c r="C147" s="78">
        <f t="shared" si="283"/>
        <v>0.30985915492957744</v>
      </c>
      <c r="D147" s="78">
        <f t="shared" si="283"/>
        <v>0</v>
      </c>
      <c r="E147" s="78">
        <f t="shared" si="283"/>
        <v>0</v>
      </c>
      <c r="F147" s="78">
        <f t="shared" si="283"/>
        <v>0</v>
      </c>
      <c r="G147" s="78">
        <f t="shared" si="283"/>
        <v>0</v>
      </c>
      <c r="H147" s="78">
        <f t="shared" si="283"/>
        <v>0</v>
      </c>
      <c r="I147" s="78">
        <f t="shared" si="283"/>
        <v>0</v>
      </c>
      <c r="J147" s="78">
        <f t="shared" si="283"/>
        <v>0</v>
      </c>
      <c r="K147" s="78">
        <f t="shared" si="283"/>
        <v>0</v>
      </c>
      <c r="L147" s="78">
        <f t="shared" si="283"/>
        <v>0</v>
      </c>
      <c r="M147" s="78">
        <f t="shared" si="283"/>
        <v>0</v>
      </c>
      <c r="N147" s="78">
        <f t="shared" si="283"/>
        <v>0</v>
      </c>
      <c r="O147" s="78">
        <f t="shared" si="283"/>
        <v>0</v>
      </c>
      <c r="P147" s="78">
        <f t="shared" si="283"/>
        <v>0</v>
      </c>
      <c r="Q147" s="78">
        <f t="shared" si="283"/>
        <v>0</v>
      </c>
      <c r="R147" s="79">
        <f t="shared" si="283"/>
        <v>0</v>
      </c>
      <c r="S147" s="79">
        <f t="shared" si="5"/>
        <v>0.31147540983606559</v>
      </c>
      <c r="T147" s="80">
        <f t="shared" si="6"/>
        <v>1</v>
      </c>
      <c r="U147" s="80">
        <f t="shared" si="7"/>
        <v>0</v>
      </c>
      <c r="V147" s="80">
        <f t="shared" si="8"/>
        <v>0</v>
      </c>
      <c r="W147" s="80">
        <f t="shared" si="9"/>
        <v>0</v>
      </c>
      <c r="X147" s="80">
        <f t="shared" si="10"/>
        <v>0</v>
      </c>
      <c r="Y147" s="80">
        <f t="shared" si="11"/>
        <v>0</v>
      </c>
      <c r="Z147" s="80">
        <f t="shared" si="12"/>
        <v>0</v>
      </c>
      <c r="AA147" s="80">
        <f t="shared" si="13"/>
        <v>0</v>
      </c>
      <c r="AB147" s="80">
        <f t="shared" si="14"/>
        <v>0</v>
      </c>
      <c r="AC147" s="80">
        <f t="shared" si="15"/>
        <v>0</v>
      </c>
      <c r="AD147" s="80">
        <f t="shared" si="16"/>
        <v>0</v>
      </c>
      <c r="AE147" s="80">
        <f t="shared" si="17"/>
        <v>0</v>
      </c>
      <c r="AF147" s="80">
        <f t="shared" si="18"/>
        <v>0</v>
      </c>
      <c r="AG147" s="80">
        <f t="shared" si="19"/>
        <v>0</v>
      </c>
      <c r="AH147" s="80">
        <f t="shared" si="20"/>
        <v>0</v>
      </c>
      <c r="AI147" s="80">
        <f t="shared" si="21"/>
        <v>0</v>
      </c>
      <c r="AJ147" s="80">
        <f t="shared" si="22"/>
        <v>0</v>
      </c>
      <c r="AK147" s="80">
        <f t="shared" ref="AK147:BA147" si="284">T147+AK146</f>
        <v>61</v>
      </c>
      <c r="AL147" s="81">
        <f t="shared" si="284"/>
        <v>70</v>
      </c>
      <c r="AM147" s="81">
        <f t="shared" si="284"/>
        <v>0</v>
      </c>
      <c r="AN147" s="81">
        <f t="shared" si="284"/>
        <v>0</v>
      </c>
      <c r="AO147" s="81">
        <f t="shared" si="284"/>
        <v>0</v>
      </c>
      <c r="AP147" s="81">
        <f t="shared" si="284"/>
        <v>0</v>
      </c>
      <c r="AQ147" s="81">
        <f t="shared" si="284"/>
        <v>0</v>
      </c>
      <c r="AR147" s="81">
        <f t="shared" si="284"/>
        <v>0</v>
      </c>
      <c r="AS147" s="81">
        <f t="shared" si="284"/>
        <v>0</v>
      </c>
      <c r="AT147" s="81">
        <f t="shared" si="284"/>
        <v>0</v>
      </c>
      <c r="AU147" s="81">
        <f t="shared" si="284"/>
        <v>0</v>
      </c>
      <c r="AV147" s="81">
        <f t="shared" si="284"/>
        <v>0</v>
      </c>
      <c r="AW147" s="81">
        <f t="shared" si="284"/>
        <v>0</v>
      </c>
      <c r="AX147" s="81">
        <f t="shared" si="284"/>
        <v>0</v>
      </c>
      <c r="AY147" s="81">
        <f t="shared" si="284"/>
        <v>0</v>
      </c>
      <c r="AZ147" s="81">
        <f t="shared" si="284"/>
        <v>0</v>
      </c>
      <c r="BA147" s="82">
        <f t="shared" si="284"/>
        <v>0</v>
      </c>
      <c r="BB147" s="39" t="str">
        <f t="shared" si="24"/>
        <v>Liste 1</v>
      </c>
      <c r="BC147" s="39"/>
      <c r="BD147" s="39"/>
      <c r="BE147" s="39"/>
      <c r="BF147" s="39"/>
      <c r="BG147" s="39"/>
      <c r="BH147" s="39"/>
      <c r="BI147" s="39"/>
      <c r="BJ147" s="39"/>
      <c r="BK147" s="39"/>
      <c r="BL147" s="39"/>
      <c r="BM147" s="39"/>
    </row>
    <row r="148" spans="1:65" ht="16" x14ac:dyDescent="0.2">
      <c r="A148" s="77">
        <v>132</v>
      </c>
      <c r="B148" s="78">
        <f t="shared" ref="B148:R148" si="285">B$12/(AK147+1)</f>
        <v>0.30645161290322581</v>
      </c>
      <c r="C148" s="78">
        <f t="shared" si="285"/>
        <v>0.30985915492957744</v>
      </c>
      <c r="D148" s="78">
        <f t="shared" si="285"/>
        <v>0</v>
      </c>
      <c r="E148" s="78">
        <f t="shared" si="285"/>
        <v>0</v>
      </c>
      <c r="F148" s="78">
        <f t="shared" si="285"/>
        <v>0</v>
      </c>
      <c r="G148" s="78">
        <f t="shared" si="285"/>
        <v>0</v>
      </c>
      <c r="H148" s="78">
        <f t="shared" si="285"/>
        <v>0</v>
      </c>
      <c r="I148" s="78">
        <f t="shared" si="285"/>
        <v>0</v>
      </c>
      <c r="J148" s="78">
        <f t="shared" si="285"/>
        <v>0</v>
      </c>
      <c r="K148" s="78">
        <f t="shared" si="285"/>
        <v>0</v>
      </c>
      <c r="L148" s="78">
        <f t="shared" si="285"/>
        <v>0</v>
      </c>
      <c r="M148" s="78">
        <f t="shared" si="285"/>
        <v>0</v>
      </c>
      <c r="N148" s="78">
        <f t="shared" si="285"/>
        <v>0</v>
      </c>
      <c r="O148" s="78">
        <f t="shared" si="285"/>
        <v>0</v>
      </c>
      <c r="P148" s="78">
        <f t="shared" si="285"/>
        <v>0</v>
      </c>
      <c r="Q148" s="78">
        <f t="shared" si="285"/>
        <v>0</v>
      </c>
      <c r="R148" s="79">
        <f t="shared" si="285"/>
        <v>0</v>
      </c>
      <c r="S148" s="79">
        <f t="shared" si="5"/>
        <v>0.30985915492957744</v>
      </c>
      <c r="T148" s="80">
        <f t="shared" si="6"/>
        <v>0</v>
      </c>
      <c r="U148" s="80">
        <f t="shared" si="7"/>
        <v>1</v>
      </c>
      <c r="V148" s="80">
        <f t="shared" si="8"/>
        <v>0</v>
      </c>
      <c r="W148" s="80">
        <f t="shared" si="9"/>
        <v>0</v>
      </c>
      <c r="X148" s="80">
        <f t="shared" si="10"/>
        <v>0</v>
      </c>
      <c r="Y148" s="80">
        <f t="shared" si="11"/>
        <v>0</v>
      </c>
      <c r="Z148" s="80">
        <f t="shared" si="12"/>
        <v>0</v>
      </c>
      <c r="AA148" s="80">
        <f t="shared" si="13"/>
        <v>0</v>
      </c>
      <c r="AB148" s="80">
        <f t="shared" si="14"/>
        <v>0</v>
      </c>
      <c r="AC148" s="80">
        <f t="shared" si="15"/>
        <v>0</v>
      </c>
      <c r="AD148" s="80">
        <f t="shared" si="16"/>
        <v>0</v>
      </c>
      <c r="AE148" s="80">
        <f t="shared" si="17"/>
        <v>0</v>
      </c>
      <c r="AF148" s="80">
        <f t="shared" si="18"/>
        <v>0</v>
      </c>
      <c r="AG148" s="80">
        <f t="shared" si="19"/>
        <v>0</v>
      </c>
      <c r="AH148" s="80">
        <f t="shared" si="20"/>
        <v>0</v>
      </c>
      <c r="AI148" s="80">
        <f t="shared" si="21"/>
        <v>0</v>
      </c>
      <c r="AJ148" s="80">
        <f t="shared" si="22"/>
        <v>0</v>
      </c>
      <c r="AK148" s="80">
        <f t="shared" ref="AK148:BA148" si="286">T148+AK147</f>
        <v>61</v>
      </c>
      <c r="AL148" s="81">
        <f t="shared" si="286"/>
        <v>71</v>
      </c>
      <c r="AM148" s="81">
        <f t="shared" si="286"/>
        <v>0</v>
      </c>
      <c r="AN148" s="81">
        <f t="shared" si="286"/>
        <v>0</v>
      </c>
      <c r="AO148" s="81">
        <f t="shared" si="286"/>
        <v>0</v>
      </c>
      <c r="AP148" s="81">
        <f t="shared" si="286"/>
        <v>0</v>
      </c>
      <c r="AQ148" s="81">
        <f t="shared" si="286"/>
        <v>0</v>
      </c>
      <c r="AR148" s="81">
        <f t="shared" si="286"/>
        <v>0</v>
      </c>
      <c r="AS148" s="81">
        <f t="shared" si="286"/>
        <v>0</v>
      </c>
      <c r="AT148" s="81">
        <f t="shared" si="286"/>
        <v>0</v>
      </c>
      <c r="AU148" s="81">
        <f t="shared" si="286"/>
        <v>0</v>
      </c>
      <c r="AV148" s="81">
        <f t="shared" si="286"/>
        <v>0</v>
      </c>
      <c r="AW148" s="81">
        <f t="shared" si="286"/>
        <v>0</v>
      </c>
      <c r="AX148" s="81">
        <f t="shared" si="286"/>
        <v>0</v>
      </c>
      <c r="AY148" s="81">
        <f t="shared" si="286"/>
        <v>0</v>
      </c>
      <c r="AZ148" s="81">
        <f t="shared" si="286"/>
        <v>0</v>
      </c>
      <c r="BA148" s="82">
        <f t="shared" si="286"/>
        <v>0</v>
      </c>
      <c r="BB148" s="39" t="str">
        <f t="shared" si="24"/>
        <v>Liste 2</v>
      </c>
      <c r="BC148" s="39"/>
      <c r="BD148" s="39"/>
      <c r="BE148" s="39"/>
      <c r="BF148" s="39"/>
      <c r="BG148" s="39"/>
      <c r="BH148" s="39"/>
      <c r="BI148" s="39"/>
      <c r="BJ148" s="39"/>
      <c r="BK148" s="39"/>
      <c r="BL148" s="39"/>
      <c r="BM148" s="39"/>
    </row>
    <row r="149" spans="1:65" ht="16" x14ac:dyDescent="0.2">
      <c r="A149" s="77">
        <v>133</v>
      </c>
      <c r="B149" s="78">
        <f t="shared" ref="B149:R149" si="287">B$12/(AK148+1)</f>
        <v>0.30645161290322581</v>
      </c>
      <c r="C149" s="78">
        <f t="shared" si="287"/>
        <v>0.30555555555555558</v>
      </c>
      <c r="D149" s="78">
        <f t="shared" si="287"/>
        <v>0</v>
      </c>
      <c r="E149" s="78">
        <f t="shared" si="287"/>
        <v>0</v>
      </c>
      <c r="F149" s="78">
        <f t="shared" si="287"/>
        <v>0</v>
      </c>
      <c r="G149" s="78">
        <f t="shared" si="287"/>
        <v>0</v>
      </c>
      <c r="H149" s="78">
        <f t="shared" si="287"/>
        <v>0</v>
      </c>
      <c r="I149" s="78">
        <f t="shared" si="287"/>
        <v>0</v>
      </c>
      <c r="J149" s="78">
        <f t="shared" si="287"/>
        <v>0</v>
      </c>
      <c r="K149" s="78">
        <f t="shared" si="287"/>
        <v>0</v>
      </c>
      <c r="L149" s="78">
        <f t="shared" si="287"/>
        <v>0</v>
      </c>
      <c r="M149" s="78">
        <f t="shared" si="287"/>
        <v>0</v>
      </c>
      <c r="N149" s="78">
        <f t="shared" si="287"/>
        <v>0</v>
      </c>
      <c r="O149" s="78">
        <f t="shared" si="287"/>
        <v>0</v>
      </c>
      <c r="P149" s="78">
        <f t="shared" si="287"/>
        <v>0</v>
      </c>
      <c r="Q149" s="78">
        <f t="shared" si="287"/>
        <v>0</v>
      </c>
      <c r="R149" s="79">
        <f t="shared" si="287"/>
        <v>0</v>
      </c>
      <c r="S149" s="79">
        <f t="shared" si="5"/>
        <v>0.30645161290322581</v>
      </c>
      <c r="T149" s="80">
        <f t="shared" si="6"/>
        <v>1</v>
      </c>
      <c r="U149" s="80">
        <f t="shared" si="7"/>
        <v>0</v>
      </c>
      <c r="V149" s="80">
        <f t="shared" si="8"/>
        <v>0</v>
      </c>
      <c r="W149" s="80">
        <f t="shared" si="9"/>
        <v>0</v>
      </c>
      <c r="X149" s="80">
        <f t="shared" si="10"/>
        <v>0</v>
      </c>
      <c r="Y149" s="80">
        <f t="shared" si="11"/>
        <v>0</v>
      </c>
      <c r="Z149" s="80">
        <f t="shared" si="12"/>
        <v>0</v>
      </c>
      <c r="AA149" s="80">
        <f t="shared" si="13"/>
        <v>0</v>
      </c>
      <c r="AB149" s="80">
        <f t="shared" si="14"/>
        <v>0</v>
      </c>
      <c r="AC149" s="80">
        <f t="shared" si="15"/>
        <v>0</v>
      </c>
      <c r="AD149" s="80">
        <f t="shared" si="16"/>
        <v>0</v>
      </c>
      <c r="AE149" s="80">
        <f t="shared" si="17"/>
        <v>0</v>
      </c>
      <c r="AF149" s="80">
        <f t="shared" si="18"/>
        <v>0</v>
      </c>
      <c r="AG149" s="80">
        <f t="shared" si="19"/>
        <v>0</v>
      </c>
      <c r="AH149" s="80">
        <f t="shared" si="20"/>
        <v>0</v>
      </c>
      <c r="AI149" s="80">
        <f t="shared" si="21"/>
        <v>0</v>
      </c>
      <c r="AJ149" s="80">
        <f t="shared" si="22"/>
        <v>0</v>
      </c>
      <c r="AK149" s="80">
        <f t="shared" ref="AK149:BA149" si="288">T149+AK148</f>
        <v>62</v>
      </c>
      <c r="AL149" s="81">
        <f t="shared" si="288"/>
        <v>71</v>
      </c>
      <c r="AM149" s="81">
        <f t="shared" si="288"/>
        <v>0</v>
      </c>
      <c r="AN149" s="81">
        <f t="shared" si="288"/>
        <v>0</v>
      </c>
      <c r="AO149" s="81">
        <f t="shared" si="288"/>
        <v>0</v>
      </c>
      <c r="AP149" s="81">
        <f t="shared" si="288"/>
        <v>0</v>
      </c>
      <c r="AQ149" s="81">
        <f t="shared" si="288"/>
        <v>0</v>
      </c>
      <c r="AR149" s="81">
        <f t="shared" si="288"/>
        <v>0</v>
      </c>
      <c r="AS149" s="81">
        <f t="shared" si="288"/>
        <v>0</v>
      </c>
      <c r="AT149" s="81">
        <f t="shared" si="288"/>
        <v>0</v>
      </c>
      <c r="AU149" s="81">
        <f t="shared" si="288"/>
        <v>0</v>
      </c>
      <c r="AV149" s="81">
        <f t="shared" si="288"/>
        <v>0</v>
      </c>
      <c r="AW149" s="81">
        <f t="shared" si="288"/>
        <v>0</v>
      </c>
      <c r="AX149" s="81">
        <f t="shared" si="288"/>
        <v>0</v>
      </c>
      <c r="AY149" s="81">
        <f t="shared" si="288"/>
        <v>0</v>
      </c>
      <c r="AZ149" s="81">
        <f t="shared" si="288"/>
        <v>0</v>
      </c>
      <c r="BA149" s="82">
        <f t="shared" si="288"/>
        <v>0</v>
      </c>
      <c r="BB149" s="39" t="str">
        <f t="shared" si="24"/>
        <v>Liste 1</v>
      </c>
      <c r="BC149" s="39"/>
      <c r="BD149" s="39"/>
      <c r="BE149" s="39"/>
      <c r="BF149" s="39"/>
      <c r="BG149" s="39"/>
      <c r="BH149" s="39"/>
      <c r="BI149" s="39"/>
      <c r="BJ149" s="39"/>
      <c r="BK149" s="39"/>
      <c r="BL149" s="39"/>
      <c r="BM149" s="39"/>
    </row>
    <row r="150" spans="1:65" ht="16" x14ac:dyDescent="0.2">
      <c r="A150" s="77">
        <v>134</v>
      </c>
      <c r="B150" s="78">
        <f t="shared" ref="B150:R150" si="289">B$12/(AK149+1)</f>
        <v>0.30158730158730157</v>
      </c>
      <c r="C150" s="78">
        <f t="shared" si="289"/>
        <v>0.30555555555555558</v>
      </c>
      <c r="D150" s="78">
        <f t="shared" si="289"/>
        <v>0</v>
      </c>
      <c r="E150" s="78">
        <f t="shared" si="289"/>
        <v>0</v>
      </c>
      <c r="F150" s="78">
        <f t="shared" si="289"/>
        <v>0</v>
      </c>
      <c r="G150" s="78">
        <f t="shared" si="289"/>
        <v>0</v>
      </c>
      <c r="H150" s="78">
        <f t="shared" si="289"/>
        <v>0</v>
      </c>
      <c r="I150" s="78">
        <f t="shared" si="289"/>
        <v>0</v>
      </c>
      <c r="J150" s="78">
        <f t="shared" si="289"/>
        <v>0</v>
      </c>
      <c r="K150" s="78">
        <f t="shared" si="289"/>
        <v>0</v>
      </c>
      <c r="L150" s="78">
        <f t="shared" si="289"/>
        <v>0</v>
      </c>
      <c r="M150" s="78">
        <f t="shared" si="289"/>
        <v>0</v>
      </c>
      <c r="N150" s="78">
        <f t="shared" si="289"/>
        <v>0</v>
      </c>
      <c r="O150" s="78">
        <f t="shared" si="289"/>
        <v>0</v>
      </c>
      <c r="P150" s="78">
        <f t="shared" si="289"/>
        <v>0</v>
      </c>
      <c r="Q150" s="78">
        <f t="shared" si="289"/>
        <v>0</v>
      </c>
      <c r="R150" s="79">
        <f t="shared" si="289"/>
        <v>0</v>
      </c>
      <c r="S150" s="79">
        <f t="shared" si="5"/>
        <v>0.30555555555555558</v>
      </c>
      <c r="T150" s="80">
        <f t="shared" si="6"/>
        <v>0</v>
      </c>
      <c r="U150" s="80">
        <f t="shared" si="7"/>
        <v>1</v>
      </c>
      <c r="V150" s="80">
        <f t="shared" si="8"/>
        <v>0</v>
      </c>
      <c r="W150" s="80">
        <f t="shared" si="9"/>
        <v>0</v>
      </c>
      <c r="X150" s="80">
        <f t="shared" si="10"/>
        <v>0</v>
      </c>
      <c r="Y150" s="80">
        <f t="shared" si="11"/>
        <v>0</v>
      </c>
      <c r="Z150" s="80">
        <f t="shared" si="12"/>
        <v>0</v>
      </c>
      <c r="AA150" s="80">
        <f t="shared" si="13"/>
        <v>0</v>
      </c>
      <c r="AB150" s="80">
        <f t="shared" si="14"/>
        <v>0</v>
      </c>
      <c r="AC150" s="80">
        <f t="shared" si="15"/>
        <v>0</v>
      </c>
      <c r="AD150" s="80">
        <f t="shared" si="16"/>
        <v>0</v>
      </c>
      <c r="AE150" s="80">
        <f t="shared" si="17"/>
        <v>0</v>
      </c>
      <c r="AF150" s="80">
        <f t="shared" si="18"/>
        <v>0</v>
      </c>
      <c r="AG150" s="80">
        <f t="shared" si="19"/>
        <v>0</v>
      </c>
      <c r="AH150" s="80">
        <f t="shared" si="20"/>
        <v>0</v>
      </c>
      <c r="AI150" s="80">
        <f t="shared" si="21"/>
        <v>0</v>
      </c>
      <c r="AJ150" s="80">
        <f t="shared" si="22"/>
        <v>0</v>
      </c>
      <c r="AK150" s="80">
        <f t="shared" ref="AK150:BA150" si="290">T150+AK149</f>
        <v>62</v>
      </c>
      <c r="AL150" s="81">
        <f t="shared" si="290"/>
        <v>72</v>
      </c>
      <c r="AM150" s="81">
        <f t="shared" si="290"/>
        <v>0</v>
      </c>
      <c r="AN150" s="81">
        <f t="shared" si="290"/>
        <v>0</v>
      </c>
      <c r="AO150" s="81">
        <f t="shared" si="290"/>
        <v>0</v>
      </c>
      <c r="AP150" s="81">
        <f t="shared" si="290"/>
        <v>0</v>
      </c>
      <c r="AQ150" s="81">
        <f t="shared" si="290"/>
        <v>0</v>
      </c>
      <c r="AR150" s="81">
        <f t="shared" si="290"/>
        <v>0</v>
      </c>
      <c r="AS150" s="81">
        <f t="shared" si="290"/>
        <v>0</v>
      </c>
      <c r="AT150" s="81">
        <f t="shared" si="290"/>
        <v>0</v>
      </c>
      <c r="AU150" s="81">
        <f t="shared" si="290"/>
        <v>0</v>
      </c>
      <c r="AV150" s="81">
        <f t="shared" si="290"/>
        <v>0</v>
      </c>
      <c r="AW150" s="81">
        <f t="shared" si="290"/>
        <v>0</v>
      </c>
      <c r="AX150" s="81">
        <f t="shared" si="290"/>
        <v>0</v>
      </c>
      <c r="AY150" s="81">
        <f t="shared" si="290"/>
        <v>0</v>
      </c>
      <c r="AZ150" s="81">
        <f t="shared" si="290"/>
        <v>0</v>
      </c>
      <c r="BA150" s="82">
        <f t="shared" si="290"/>
        <v>0</v>
      </c>
      <c r="BB150" s="39" t="str">
        <f t="shared" si="24"/>
        <v>Liste 2</v>
      </c>
      <c r="BC150" s="39"/>
      <c r="BD150" s="39"/>
      <c r="BE150" s="39"/>
      <c r="BF150" s="39"/>
      <c r="BG150" s="39"/>
      <c r="BH150" s="39"/>
      <c r="BI150" s="39"/>
      <c r="BJ150" s="39"/>
      <c r="BK150" s="39"/>
      <c r="BL150" s="39"/>
      <c r="BM150" s="39"/>
    </row>
    <row r="151" spans="1:65" ht="16" x14ac:dyDescent="0.2">
      <c r="A151" s="77">
        <v>135</v>
      </c>
      <c r="B151" s="78">
        <f t="shared" ref="B151:R151" si="291">B$12/(AK150+1)</f>
        <v>0.30158730158730157</v>
      </c>
      <c r="C151" s="78">
        <f t="shared" si="291"/>
        <v>0.30136986301369861</v>
      </c>
      <c r="D151" s="78">
        <f t="shared" si="291"/>
        <v>0</v>
      </c>
      <c r="E151" s="78">
        <f t="shared" si="291"/>
        <v>0</v>
      </c>
      <c r="F151" s="78">
        <f t="shared" si="291"/>
        <v>0</v>
      </c>
      <c r="G151" s="78">
        <f t="shared" si="291"/>
        <v>0</v>
      </c>
      <c r="H151" s="78">
        <f t="shared" si="291"/>
        <v>0</v>
      </c>
      <c r="I151" s="78">
        <f t="shared" si="291"/>
        <v>0</v>
      </c>
      <c r="J151" s="78">
        <f t="shared" si="291"/>
        <v>0</v>
      </c>
      <c r="K151" s="78">
        <f t="shared" si="291"/>
        <v>0</v>
      </c>
      <c r="L151" s="78">
        <f t="shared" si="291"/>
        <v>0</v>
      </c>
      <c r="M151" s="78">
        <f t="shared" si="291"/>
        <v>0</v>
      </c>
      <c r="N151" s="78">
        <f t="shared" si="291"/>
        <v>0</v>
      </c>
      <c r="O151" s="78">
        <f t="shared" si="291"/>
        <v>0</v>
      </c>
      <c r="P151" s="78">
        <f t="shared" si="291"/>
        <v>0</v>
      </c>
      <c r="Q151" s="78">
        <f t="shared" si="291"/>
        <v>0</v>
      </c>
      <c r="R151" s="79">
        <f t="shared" si="291"/>
        <v>0</v>
      </c>
      <c r="S151" s="79">
        <f t="shared" si="5"/>
        <v>0.30158730158730157</v>
      </c>
      <c r="T151" s="80">
        <f t="shared" si="6"/>
        <v>1</v>
      </c>
      <c r="U151" s="80">
        <f t="shared" si="7"/>
        <v>0</v>
      </c>
      <c r="V151" s="80">
        <f t="shared" si="8"/>
        <v>0</v>
      </c>
      <c r="W151" s="80">
        <f t="shared" si="9"/>
        <v>0</v>
      </c>
      <c r="X151" s="80">
        <f t="shared" si="10"/>
        <v>0</v>
      </c>
      <c r="Y151" s="80">
        <f t="shared" si="11"/>
        <v>0</v>
      </c>
      <c r="Z151" s="80">
        <f t="shared" si="12"/>
        <v>0</v>
      </c>
      <c r="AA151" s="80">
        <f t="shared" si="13"/>
        <v>0</v>
      </c>
      <c r="AB151" s="80">
        <f t="shared" si="14"/>
        <v>0</v>
      </c>
      <c r="AC151" s="80">
        <f t="shared" si="15"/>
        <v>0</v>
      </c>
      <c r="AD151" s="80">
        <f t="shared" si="16"/>
        <v>0</v>
      </c>
      <c r="AE151" s="80">
        <f t="shared" si="17"/>
        <v>0</v>
      </c>
      <c r="AF151" s="80">
        <f t="shared" si="18"/>
        <v>0</v>
      </c>
      <c r="AG151" s="80">
        <f t="shared" si="19"/>
        <v>0</v>
      </c>
      <c r="AH151" s="80">
        <f t="shared" si="20"/>
        <v>0</v>
      </c>
      <c r="AI151" s="80">
        <f t="shared" si="21"/>
        <v>0</v>
      </c>
      <c r="AJ151" s="80">
        <f t="shared" si="22"/>
        <v>0</v>
      </c>
      <c r="AK151" s="80">
        <f t="shared" ref="AK151:BA151" si="292">T151+AK150</f>
        <v>63</v>
      </c>
      <c r="AL151" s="81">
        <f t="shared" si="292"/>
        <v>72</v>
      </c>
      <c r="AM151" s="81">
        <f t="shared" si="292"/>
        <v>0</v>
      </c>
      <c r="AN151" s="81">
        <f t="shared" si="292"/>
        <v>0</v>
      </c>
      <c r="AO151" s="81">
        <f t="shared" si="292"/>
        <v>0</v>
      </c>
      <c r="AP151" s="81">
        <f t="shared" si="292"/>
        <v>0</v>
      </c>
      <c r="AQ151" s="81">
        <f t="shared" si="292"/>
        <v>0</v>
      </c>
      <c r="AR151" s="81">
        <f t="shared" si="292"/>
        <v>0</v>
      </c>
      <c r="AS151" s="81">
        <f t="shared" si="292"/>
        <v>0</v>
      </c>
      <c r="AT151" s="81">
        <f t="shared" si="292"/>
        <v>0</v>
      </c>
      <c r="AU151" s="81">
        <f t="shared" si="292"/>
        <v>0</v>
      </c>
      <c r="AV151" s="81">
        <f t="shared" si="292"/>
        <v>0</v>
      </c>
      <c r="AW151" s="81">
        <f t="shared" si="292"/>
        <v>0</v>
      </c>
      <c r="AX151" s="81">
        <f t="shared" si="292"/>
        <v>0</v>
      </c>
      <c r="AY151" s="81">
        <f t="shared" si="292"/>
        <v>0</v>
      </c>
      <c r="AZ151" s="81">
        <f t="shared" si="292"/>
        <v>0</v>
      </c>
      <c r="BA151" s="82">
        <f t="shared" si="292"/>
        <v>0</v>
      </c>
      <c r="BB151" s="39" t="str">
        <f t="shared" si="24"/>
        <v>Liste 1</v>
      </c>
      <c r="BC151" s="39"/>
      <c r="BD151" s="39"/>
      <c r="BE151" s="39"/>
      <c r="BF151" s="39"/>
      <c r="BG151" s="39"/>
      <c r="BH151" s="39"/>
      <c r="BI151" s="39"/>
      <c r="BJ151" s="39"/>
      <c r="BK151" s="39"/>
      <c r="BL151" s="39"/>
      <c r="BM151" s="39"/>
    </row>
    <row r="152" spans="1:65" ht="16" x14ac:dyDescent="0.2">
      <c r="A152" s="77">
        <v>136</v>
      </c>
      <c r="B152" s="78">
        <f t="shared" ref="B152:R152" si="293">B$12/(AK151+1)</f>
        <v>0.296875</v>
      </c>
      <c r="C152" s="78">
        <f t="shared" si="293"/>
        <v>0.30136986301369861</v>
      </c>
      <c r="D152" s="78">
        <f t="shared" si="293"/>
        <v>0</v>
      </c>
      <c r="E152" s="78">
        <f t="shared" si="293"/>
        <v>0</v>
      </c>
      <c r="F152" s="78">
        <f t="shared" si="293"/>
        <v>0</v>
      </c>
      <c r="G152" s="78">
        <f t="shared" si="293"/>
        <v>0</v>
      </c>
      <c r="H152" s="78">
        <f t="shared" si="293"/>
        <v>0</v>
      </c>
      <c r="I152" s="78">
        <f t="shared" si="293"/>
        <v>0</v>
      </c>
      <c r="J152" s="78">
        <f t="shared" si="293"/>
        <v>0</v>
      </c>
      <c r="K152" s="78">
        <f t="shared" si="293"/>
        <v>0</v>
      </c>
      <c r="L152" s="78">
        <f t="shared" si="293"/>
        <v>0</v>
      </c>
      <c r="M152" s="78">
        <f t="shared" si="293"/>
        <v>0</v>
      </c>
      <c r="N152" s="78">
        <f t="shared" si="293"/>
        <v>0</v>
      </c>
      <c r="O152" s="78">
        <f t="shared" si="293"/>
        <v>0</v>
      </c>
      <c r="P152" s="78">
        <f t="shared" si="293"/>
        <v>0</v>
      </c>
      <c r="Q152" s="78">
        <f t="shared" si="293"/>
        <v>0</v>
      </c>
      <c r="R152" s="79">
        <f t="shared" si="293"/>
        <v>0</v>
      </c>
      <c r="S152" s="79">
        <f t="shared" si="5"/>
        <v>0.30136986301369861</v>
      </c>
      <c r="T152" s="80">
        <f t="shared" si="6"/>
        <v>0</v>
      </c>
      <c r="U152" s="80">
        <f t="shared" si="7"/>
        <v>1</v>
      </c>
      <c r="V152" s="80">
        <f t="shared" si="8"/>
        <v>0</v>
      </c>
      <c r="W152" s="80">
        <f t="shared" si="9"/>
        <v>0</v>
      </c>
      <c r="X152" s="80">
        <f t="shared" si="10"/>
        <v>0</v>
      </c>
      <c r="Y152" s="80">
        <f t="shared" si="11"/>
        <v>0</v>
      </c>
      <c r="Z152" s="80">
        <f t="shared" si="12"/>
        <v>0</v>
      </c>
      <c r="AA152" s="80">
        <f t="shared" si="13"/>
        <v>0</v>
      </c>
      <c r="AB152" s="80">
        <f t="shared" si="14"/>
        <v>0</v>
      </c>
      <c r="AC152" s="80">
        <f t="shared" si="15"/>
        <v>0</v>
      </c>
      <c r="AD152" s="80">
        <f t="shared" si="16"/>
        <v>0</v>
      </c>
      <c r="AE152" s="80">
        <f t="shared" si="17"/>
        <v>0</v>
      </c>
      <c r="AF152" s="80">
        <f t="shared" si="18"/>
        <v>0</v>
      </c>
      <c r="AG152" s="80">
        <f t="shared" si="19"/>
        <v>0</v>
      </c>
      <c r="AH152" s="80">
        <f t="shared" si="20"/>
        <v>0</v>
      </c>
      <c r="AI152" s="80">
        <f t="shared" si="21"/>
        <v>0</v>
      </c>
      <c r="AJ152" s="80">
        <f t="shared" si="22"/>
        <v>0</v>
      </c>
      <c r="AK152" s="80">
        <f t="shared" ref="AK152:BA152" si="294">T152+AK151</f>
        <v>63</v>
      </c>
      <c r="AL152" s="81">
        <f t="shared" si="294"/>
        <v>73</v>
      </c>
      <c r="AM152" s="81">
        <f t="shared" si="294"/>
        <v>0</v>
      </c>
      <c r="AN152" s="81">
        <f t="shared" si="294"/>
        <v>0</v>
      </c>
      <c r="AO152" s="81">
        <f t="shared" si="294"/>
        <v>0</v>
      </c>
      <c r="AP152" s="81">
        <f t="shared" si="294"/>
        <v>0</v>
      </c>
      <c r="AQ152" s="81">
        <f t="shared" si="294"/>
        <v>0</v>
      </c>
      <c r="AR152" s="81">
        <f t="shared" si="294"/>
        <v>0</v>
      </c>
      <c r="AS152" s="81">
        <f t="shared" si="294"/>
        <v>0</v>
      </c>
      <c r="AT152" s="81">
        <f t="shared" si="294"/>
        <v>0</v>
      </c>
      <c r="AU152" s="81">
        <f t="shared" si="294"/>
        <v>0</v>
      </c>
      <c r="AV152" s="81">
        <f t="shared" si="294"/>
        <v>0</v>
      </c>
      <c r="AW152" s="81">
        <f t="shared" si="294"/>
        <v>0</v>
      </c>
      <c r="AX152" s="81">
        <f t="shared" si="294"/>
        <v>0</v>
      </c>
      <c r="AY152" s="81">
        <f t="shared" si="294"/>
        <v>0</v>
      </c>
      <c r="AZ152" s="81">
        <f t="shared" si="294"/>
        <v>0</v>
      </c>
      <c r="BA152" s="82">
        <f t="shared" si="294"/>
        <v>0</v>
      </c>
      <c r="BB152" s="39" t="str">
        <f t="shared" si="24"/>
        <v>Liste 2</v>
      </c>
      <c r="BC152" s="39"/>
      <c r="BD152" s="39"/>
      <c r="BE152" s="39"/>
      <c r="BF152" s="39"/>
      <c r="BG152" s="39"/>
      <c r="BH152" s="39"/>
      <c r="BI152" s="39"/>
      <c r="BJ152" s="39"/>
      <c r="BK152" s="39"/>
      <c r="BL152" s="39"/>
      <c r="BM152" s="39"/>
    </row>
    <row r="153" spans="1:65" ht="16" x14ac:dyDescent="0.2">
      <c r="A153" s="77">
        <v>137</v>
      </c>
      <c r="B153" s="78">
        <f t="shared" ref="B153:R153" si="295">B$12/(AK152+1)</f>
        <v>0.296875</v>
      </c>
      <c r="C153" s="78">
        <f t="shared" si="295"/>
        <v>0.29729729729729731</v>
      </c>
      <c r="D153" s="78">
        <f t="shared" si="295"/>
        <v>0</v>
      </c>
      <c r="E153" s="78">
        <f t="shared" si="295"/>
        <v>0</v>
      </c>
      <c r="F153" s="78">
        <f t="shared" si="295"/>
        <v>0</v>
      </c>
      <c r="G153" s="78">
        <f t="shared" si="295"/>
        <v>0</v>
      </c>
      <c r="H153" s="78">
        <f t="shared" si="295"/>
        <v>0</v>
      </c>
      <c r="I153" s="78">
        <f t="shared" si="295"/>
        <v>0</v>
      </c>
      <c r="J153" s="78">
        <f t="shared" si="295"/>
        <v>0</v>
      </c>
      <c r="K153" s="78">
        <f t="shared" si="295"/>
        <v>0</v>
      </c>
      <c r="L153" s="78">
        <f t="shared" si="295"/>
        <v>0</v>
      </c>
      <c r="M153" s="78">
        <f t="shared" si="295"/>
        <v>0</v>
      </c>
      <c r="N153" s="78">
        <f t="shared" si="295"/>
        <v>0</v>
      </c>
      <c r="O153" s="78">
        <f t="shared" si="295"/>
        <v>0</v>
      </c>
      <c r="P153" s="78">
        <f t="shared" si="295"/>
        <v>0</v>
      </c>
      <c r="Q153" s="78">
        <f t="shared" si="295"/>
        <v>0</v>
      </c>
      <c r="R153" s="79">
        <f t="shared" si="295"/>
        <v>0</v>
      </c>
      <c r="S153" s="79">
        <f t="shared" si="5"/>
        <v>0.29729729729729731</v>
      </c>
      <c r="T153" s="80">
        <f t="shared" si="6"/>
        <v>0</v>
      </c>
      <c r="U153" s="80">
        <f t="shared" si="7"/>
        <v>1</v>
      </c>
      <c r="V153" s="80">
        <f t="shared" si="8"/>
        <v>0</v>
      </c>
      <c r="W153" s="80">
        <f t="shared" si="9"/>
        <v>0</v>
      </c>
      <c r="X153" s="80">
        <f t="shared" si="10"/>
        <v>0</v>
      </c>
      <c r="Y153" s="80">
        <f t="shared" si="11"/>
        <v>0</v>
      </c>
      <c r="Z153" s="80">
        <f t="shared" si="12"/>
        <v>0</v>
      </c>
      <c r="AA153" s="80">
        <f t="shared" si="13"/>
        <v>0</v>
      </c>
      <c r="AB153" s="80">
        <f t="shared" si="14"/>
        <v>0</v>
      </c>
      <c r="AC153" s="80">
        <f t="shared" si="15"/>
        <v>0</v>
      </c>
      <c r="AD153" s="80">
        <f t="shared" si="16"/>
        <v>0</v>
      </c>
      <c r="AE153" s="80">
        <f t="shared" si="17"/>
        <v>0</v>
      </c>
      <c r="AF153" s="80">
        <f t="shared" si="18"/>
        <v>0</v>
      </c>
      <c r="AG153" s="80">
        <f t="shared" si="19"/>
        <v>0</v>
      </c>
      <c r="AH153" s="80">
        <f t="shared" si="20"/>
        <v>0</v>
      </c>
      <c r="AI153" s="80">
        <f t="shared" si="21"/>
        <v>0</v>
      </c>
      <c r="AJ153" s="80">
        <f t="shared" si="22"/>
        <v>0</v>
      </c>
      <c r="AK153" s="80">
        <f t="shared" ref="AK153:BA153" si="296">T153+AK152</f>
        <v>63</v>
      </c>
      <c r="AL153" s="81">
        <f t="shared" si="296"/>
        <v>74</v>
      </c>
      <c r="AM153" s="81">
        <f t="shared" si="296"/>
        <v>0</v>
      </c>
      <c r="AN153" s="81">
        <f t="shared" si="296"/>
        <v>0</v>
      </c>
      <c r="AO153" s="81">
        <f t="shared" si="296"/>
        <v>0</v>
      </c>
      <c r="AP153" s="81">
        <f t="shared" si="296"/>
        <v>0</v>
      </c>
      <c r="AQ153" s="81">
        <f t="shared" si="296"/>
        <v>0</v>
      </c>
      <c r="AR153" s="81">
        <f t="shared" si="296"/>
        <v>0</v>
      </c>
      <c r="AS153" s="81">
        <f t="shared" si="296"/>
        <v>0</v>
      </c>
      <c r="AT153" s="81">
        <f t="shared" si="296"/>
        <v>0</v>
      </c>
      <c r="AU153" s="81">
        <f t="shared" si="296"/>
        <v>0</v>
      </c>
      <c r="AV153" s="81">
        <f t="shared" si="296"/>
        <v>0</v>
      </c>
      <c r="AW153" s="81">
        <f t="shared" si="296"/>
        <v>0</v>
      </c>
      <c r="AX153" s="81">
        <f t="shared" si="296"/>
        <v>0</v>
      </c>
      <c r="AY153" s="81">
        <f t="shared" si="296"/>
        <v>0</v>
      </c>
      <c r="AZ153" s="81">
        <f t="shared" si="296"/>
        <v>0</v>
      </c>
      <c r="BA153" s="82">
        <f t="shared" si="296"/>
        <v>0</v>
      </c>
      <c r="BB153" s="39" t="str">
        <f t="shared" si="24"/>
        <v>Liste 2</v>
      </c>
      <c r="BC153" s="39"/>
      <c r="BD153" s="39"/>
      <c r="BE153" s="39"/>
      <c r="BF153" s="39"/>
      <c r="BG153" s="39"/>
      <c r="BH153" s="39"/>
      <c r="BI153" s="39"/>
      <c r="BJ153" s="39"/>
      <c r="BK153" s="39"/>
      <c r="BL153" s="39"/>
      <c r="BM153" s="39"/>
    </row>
    <row r="154" spans="1:65" ht="16" x14ac:dyDescent="0.2">
      <c r="A154" s="77">
        <v>138</v>
      </c>
      <c r="B154" s="78">
        <f t="shared" ref="B154:R154" si="297">B$12/(AK153+1)</f>
        <v>0.296875</v>
      </c>
      <c r="C154" s="78">
        <f t="shared" si="297"/>
        <v>0.29333333333333333</v>
      </c>
      <c r="D154" s="78">
        <f t="shared" si="297"/>
        <v>0</v>
      </c>
      <c r="E154" s="78">
        <f t="shared" si="297"/>
        <v>0</v>
      </c>
      <c r="F154" s="78">
        <f t="shared" si="297"/>
        <v>0</v>
      </c>
      <c r="G154" s="78">
        <f t="shared" si="297"/>
        <v>0</v>
      </c>
      <c r="H154" s="78">
        <f t="shared" si="297"/>
        <v>0</v>
      </c>
      <c r="I154" s="78">
        <f t="shared" si="297"/>
        <v>0</v>
      </c>
      <c r="J154" s="78">
        <f t="shared" si="297"/>
        <v>0</v>
      </c>
      <c r="K154" s="78">
        <f t="shared" si="297"/>
        <v>0</v>
      </c>
      <c r="L154" s="78">
        <f t="shared" si="297"/>
        <v>0</v>
      </c>
      <c r="M154" s="78">
        <f t="shared" si="297"/>
        <v>0</v>
      </c>
      <c r="N154" s="78">
        <f t="shared" si="297"/>
        <v>0</v>
      </c>
      <c r="O154" s="78">
        <f t="shared" si="297"/>
        <v>0</v>
      </c>
      <c r="P154" s="78">
        <f t="shared" si="297"/>
        <v>0</v>
      </c>
      <c r="Q154" s="78">
        <f t="shared" si="297"/>
        <v>0</v>
      </c>
      <c r="R154" s="79">
        <f t="shared" si="297"/>
        <v>0</v>
      </c>
      <c r="S154" s="79">
        <f t="shared" si="5"/>
        <v>0.296875</v>
      </c>
      <c r="T154" s="80">
        <f t="shared" si="6"/>
        <v>1</v>
      </c>
      <c r="U154" s="80">
        <f t="shared" si="7"/>
        <v>0</v>
      </c>
      <c r="V154" s="80">
        <f t="shared" si="8"/>
        <v>0</v>
      </c>
      <c r="W154" s="80">
        <f t="shared" si="9"/>
        <v>0</v>
      </c>
      <c r="X154" s="80">
        <f t="shared" si="10"/>
        <v>0</v>
      </c>
      <c r="Y154" s="80">
        <f t="shared" si="11"/>
        <v>0</v>
      </c>
      <c r="Z154" s="80">
        <f t="shared" si="12"/>
        <v>0</v>
      </c>
      <c r="AA154" s="80">
        <f t="shared" si="13"/>
        <v>0</v>
      </c>
      <c r="AB154" s="80">
        <f t="shared" si="14"/>
        <v>0</v>
      </c>
      <c r="AC154" s="80">
        <f t="shared" si="15"/>
        <v>0</v>
      </c>
      <c r="AD154" s="80">
        <f t="shared" si="16"/>
        <v>0</v>
      </c>
      <c r="AE154" s="80">
        <f t="shared" si="17"/>
        <v>0</v>
      </c>
      <c r="AF154" s="80">
        <f t="shared" si="18"/>
        <v>0</v>
      </c>
      <c r="AG154" s="80">
        <f t="shared" si="19"/>
        <v>0</v>
      </c>
      <c r="AH154" s="80">
        <f t="shared" si="20"/>
        <v>0</v>
      </c>
      <c r="AI154" s="80">
        <f t="shared" si="21"/>
        <v>0</v>
      </c>
      <c r="AJ154" s="80">
        <f t="shared" si="22"/>
        <v>0</v>
      </c>
      <c r="AK154" s="80">
        <f t="shared" ref="AK154:BA154" si="298">T154+AK153</f>
        <v>64</v>
      </c>
      <c r="AL154" s="81">
        <f t="shared" si="298"/>
        <v>74</v>
      </c>
      <c r="AM154" s="81">
        <f t="shared" si="298"/>
        <v>0</v>
      </c>
      <c r="AN154" s="81">
        <f t="shared" si="298"/>
        <v>0</v>
      </c>
      <c r="AO154" s="81">
        <f t="shared" si="298"/>
        <v>0</v>
      </c>
      <c r="AP154" s="81">
        <f t="shared" si="298"/>
        <v>0</v>
      </c>
      <c r="AQ154" s="81">
        <f t="shared" si="298"/>
        <v>0</v>
      </c>
      <c r="AR154" s="81">
        <f t="shared" si="298"/>
        <v>0</v>
      </c>
      <c r="AS154" s="81">
        <f t="shared" si="298"/>
        <v>0</v>
      </c>
      <c r="AT154" s="81">
        <f t="shared" si="298"/>
        <v>0</v>
      </c>
      <c r="AU154" s="81">
        <f t="shared" si="298"/>
        <v>0</v>
      </c>
      <c r="AV154" s="81">
        <f t="shared" si="298"/>
        <v>0</v>
      </c>
      <c r="AW154" s="81">
        <f t="shared" si="298"/>
        <v>0</v>
      </c>
      <c r="AX154" s="81">
        <f t="shared" si="298"/>
        <v>0</v>
      </c>
      <c r="AY154" s="81">
        <f t="shared" si="298"/>
        <v>0</v>
      </c>
      <c r="AZ154" s="81">
        <f t="shared" si="298"/>
        <v>0</v>
      </c>
      <c r="BA154" s="82">
        <f t="shared" si="298"/>
        <v>0</v>
      </c>
      <c r="BB154" s="39" t="str">
        <f t="shared" si="24"/>
        <v>Liste 1</v>
      </c>
      <c r="BC154" s="39"/>
      <c r="BD154" s="39"/>
      <c r="BE154" s="39"/>
      <c r="BF154" s="39"/>
      <c r="BG154" s="39"/>
      <c r="BH154" s="39"/>
      <c r="BI154" s="39"/>
      <c r="BJ154" s="39"/>
      <c r="BK154" s="39"/>
      <c r="BL154" s="39"/>
      <c r="BM154" s="39"/>
    </row>
    <row r="155" spans="1:65" ht="16" x14ac:dyDescent="0.2">
      <c r="A155" s="77">
        <v>139</v>
      </c>
      <c r="B155" s="78">
        <f t="shared" ref="B155:R155" si="299">B$12/(AK154+1)</f>
        <v>0.29230769230769232</v>
      </c>
      <c r="C155" s="78">
        <f t="shared" si="299"/>
        <v>0.29333333333333333</v>
      </c>
      <c r="D155" s="78">
        <f t="shared" si="299"/>
        <v>0</v>
      </c>
      <c r="E155" s="78">
        <f t="shared" si="299"/>
        <v>0</v>
      </c>
      <c r="F155" s="78">
        <f t="shared" si="299"/>
        <v>0</v>
      </c>
      <c r="G155" s="78">
        <f t="shared" si="299"/>
        <v>0</v>
      </c>
      <c r="H155" s="78">
        <f t="shared" si="299"/>
        <v>0</v>
      </c>
      <c r="I155" s="78">
        <f t="shared" si="299"/>
        <v>0</v>
      </c>
      <c r="J155" s="78">
        <f t="shared" si="299"/>
        <v>0</v>
      </c>
      <c r="K155" s="78">
        <f t="shared" si="299"/>
        <v>0</v>
      </c>
      <c r="L155" s="78">
        <f t="shared" si="299"/>
        <v>0</v>
      </c>
      <c r="M155" s="78">
        <f t="shared" si="299"/>
        <v>0</v>
      </c>
      <c r="N155" s="78">
        <f t="shared" si="299"/>
        <v>0</v>
      </c>
      <c r="O155" s="78">
        <f t="shared" si="299"/>
        <v>0</v>
      </c>
      <c r="P155" s="78">
        <f t="shared" si="299"/>
        <v>0</v>
      </c>
      <c r="Q155" s="78">
        <f t="shared" si="299"/>
        <v>0</v>
      </c>
      <c r="R155" s="79">
        <f t="shared" si="299"/>
        <v>0</v>
      </c>
      <c r="S155" s="79">
        <f t="shared" si="5"/>
        <v>0.29333333333333333</v>
      </c>
      <c r="T155" s="80">
        <f t="shared" si="6"/>
        <v>0</v>
      </c>
      <c r="U155" s="80">
        <f t="shared" si="7"/>
        <v>1</v>
      </c>
      <c r="V155" s="80">
        <f t="shared" si="8"/>
        <v>0</v>
      </c>
      <c r="W155" s="80">
        <f t="shared" si="9"/>
        <v>0</v>
      </c>
      <c r="X155" s="80">
        <f t="shared" si="10"/>
        <v>0</v>
      </c>
      <c r="Y155" s="80">
        <f t="shared" si="11"/>
        <v>0</v>
      </c>
      <c r="Z155" s="80">
        <f t="shared" si="12"/>
        <v>0</v>
      </c>
      <c r="AA155" s="80">
        <f t="shared" si="13"/>
        <v>0</v>
      </c>
      <c r="AB155" s="80">
        <f t="shared" si="14"/>
        <v>0</v>
      </c>
      <c r="AC155" s="80">
        <f t="shared" si="15"/>
        <v>0</v>
      </c>
      <c r="AD155" s="80">
        <f t="shared" si="16"/>
        <v>0</v>
      </c>
      <c r="AE155" s="80">
        <f t="shared" si="17"/>
        <v>0</v>
      </c>
      <c r="AF155" s="80">
        <f t="shared" si="18"/>
        <v>0</v>
      </c>
      <c r="AG155" s="80">
        <f t="shared" si="19"/>
        <v>0</v>
      </c>
      <c r="AH155" s="80">
        <f t="shared" si="20"/>
        <v>0</v>
      </c>
      <c r="AI155" s="80">
        <f t="shared" si="21"/>
        <v>0</v>
      </c>
      <c r="AJ155" s="80">
        <f t="shared" si="22"/>
        <v>0</v>
      </c>
      <c r="AK155" s="80">
        <f t="shared" ref="AK155:BA155" si="300">T155+AK154</f>
        <v>64</v>
      </c>
      <c r="AL155" s="81">
        <f t="shared" si="300"/>
        <v>75</v>
      </c>
      <c r="AM155" s="81">
        <f t="shared" si="300"/>
        <v>0</v>
      </c>
      <c r="AN155" s="81">
        <f t="shared" si="300"/>
        <v>0</v>
      </c>
      <c r="AO155" s="81">
        <f t="shared" si="300"/>
        <v>0</v>
      </c>
      <c r="AP155" s="81">
        <f t="shared" si="300"/>
        <v>0</v>
      </c>
      <c r="AQ155" s="81">
        <f t="shared" si="300"/>
        <v>0</v>
      </c>
      <c r="AR155" s="81">
        <f t="shared" si="300"/>
        <v>0</v>
      </c>
      <c r="AS155" s="81">
        <f t="shared" si="300"/>
        <v>0</v>
      </c>
      <c r="AT155" s="81">
        <f t="shared" si="300"/>
        <v>0</v>
      </c>
      <c r="AU155" s="81">
        <f t="shared" si="300"/>
        <v>0</v>
      </c>
      <c r="AV155" s="81">
        <f t="shared" si="300"/>
        <v>0</v>
      </c>
      <c r="AW155" s="81">
        <f t="shared" si="300"/>
        <v>0</v>
      </c>
      <c r="AX155" s="81">
        <f t="shared" si="300"/>
        <v>0</v>
      </c>
      <c r="AY155" s="81">
        <f t="shared" si="300"/>
        <v>0</v>
      </c>
      <c r="AZ155" s="81">
        <f t="shared" si="300"/>
        <v>0</v>
      </c>
      <c r="BA155" s="82">
        <f t="shared" si="300"/>
        <v>0</v>
      </c>
      <c r="BB155" s="39" t="str">
        <f t="shared" si="24"/>
        <v>Liste 2</v>
      </c>
      <c r="BC155" s="39"/>
      <c r="BD155" s="39"/>
      <c r="BE155" s="39"/>
      <c r="BF155" s="39"/>
      <c r="BG155" s="39"/>
      <c r="BH155" s="39"/>
      <c r="BI155" s="39"/>
      <c r="BJ155" s="39"/>
      <c r="BK155" s="39"/>
      <c r="BL155" s="39"/>
      <c r="BM155" s="39"/>
    </row>
    <row r="156" spans="1:65" ht="16" x14ac:dyDescent="0.2">
      <c r="A156" s="77">
        <v>140</v>
      </c>
      <c r="B156" s="78">
        <f t="shared" ref="B156:R156" si="301">B$12/(AK155+1)</f>
        <v>0.29230769230769232</v>
      </c>
      <c r="C156" s="78">
        <f t="shared" si="301"/>
        <v>0.28947368421052633</v>
      </c>
      <c r="D156" s="78">
        <f t="shared" si="301"/>
        <v>0</v>
      </c>
      <c r="E156" s="78">
        <f t="shared" si="301"/>
        <v>0</v>
      </c>
      <c r="F156" s="78">
        <f t="shared" si="301"/>
        <v>0</v>
      </c>
      <c r="G156" s="78">
        <f t="shared" si="301"/>
        <v>0</v>
      </c>
      <c r="H156" s="78">
        <f t="shared" si="301"/>
        <v>0</v>
      </c>
      <c r="I156" s="78">
        <f t="shared" si="301"/>
        <v>0</v>
      </c>
      <c r="J156" s="78">
        <f t="shared" si="301"/>
        <v>0</v>
      </c>
      <c r="K156" s="78">
        <f t="shared" si="301"/>
        <v>0</v>
      </c>
      <c r="L156" s="78">
        <f t="shared" si="301"/>
        <v>0</v>
      </c>
      <c r="M156" s="78">
        <f t="shared" si="301"/>
        <v>0</v>
      </c>
      <c r="N156" s="78">
        <f t="shared" si="301"/>
        <v>0</v>
      </c>
      <c r="O156" s="78">
        <f t="shared" si="301"/>
        <v>0</v>
      </c>
      <c r="P156" s="78">
        <f t="shared" si="301"/>
        <v>0</v>
      </c>
      <c r="Q156" s="78">
        <f t="shared" si="301"/>
        <v>0</v>
      </c>
      <c r="R156" s="79">
        <f t="shared" si="301"/>
        <v>0</v>
      </c>
      <c r="S156" s="79">
        <f t="shared" si="5"/>
        <v>0.29230769230769232</v>
      </c>
      <c r="T156" s="80">
        <f t="shared" si="6"/>
        <v>1</v>
      </c>
      <c r="U156" s="80">
        <f t="shared" si="7"/>
        <v>0</v>
      </c>
      <c r="V156" s="80">
        <f t="shared" si="8"/>
        <v>0</v>
      </c>
      <c r="W156" s="80">
        <f t="shared" si="9"/>
        <v>0</v>
      </c>
      <c r="X156" s="80">
        <f t="shared" si="10"/>
        <v>0</v>
      </c>
      <c r="Y156" s="80">
        <f t="shared" si="11"/>
        <v>0</v>
      </c>
      <c r="Z156" s="80">
        <f t="shared" si="12"/>
        <v>0</v>
      </c>
      <c r="AA156" s="80">
        <f t="shared" si="13"/>
        <v>0</v>
      </c>
      <c r="AB156" s="80">
        <f t="shared" si="14"/>
        <v>0</v>
      </c>
      <c r="AC156" s="80">
        <f t="shared" si="15"/>
        <v>0</v>
      </c>
      <c r="AD156" s="80">
        <f t="shared" si="16"/>
        <v>0</v>
      </c>
      <c r="AE156" s="80">
        <f t="shared" si="17"/>
        <v>0</v>
      </c>
      <c r="AF156" s="80">
        <f t="shared" si="18"/>
        <v>0</v>
      </c>
      <c r="AG156" s="80">
        <f t="shared" si="19"/>
        <v>0</v>
      </c>
      <c r="AH156" s="80">
        <f t="shared" si="20"/>
        <v>0</v>
      </c>
      <c r="AI156" s="80">
        <f t="shared" si="21"/>
        <v>0</v>
      </c>
      <c r="AJ156" s="80">
        <f t="shared" si="22"/>
        <v>0</v>
      </c>
      <c r="AK156" s="80">
        <f t="shared" ref="AK156:BA156" si="302">T156+AK155</f>
        <v>65</v>
      </c>
      <c r="AL156" s="81">
        <f t="shared" si="302"/>
        <v>75</v>
      </c>
      <c r="AM156" s="81">
        <f t="shared" si="302"/>
        <v>0</v>
      </c>
      <c r="AN156" s="81">
        <f t="shared" si="302"/>
        <v>0</v>
      </c>
      <c r="AO156" s="81">
        <f t="shared" si="302"/>
        <v>0</v>
      </c>
      <c r="AP156" s="81">
        <f t="shared" si="302"/>
        <v>0</v>
      </c>
      <c r="AQ156" s="81">
        <f t="shared" si="302"/>
        <v>0</v>
      </c>
      <c r="AR156" s="81">
        <f t="shared" si="302"/>
        <v>0</v>
      </c>
      <c r="AS156" s="81">
        <f t="shared" si="302"/>
        <v>0</v>
      </c>
      <c r="AT156" s="81">
        <f t="shared" si="302"/>
        <v>0</v>
      </c>
      <c r="AU156" s="81">
        <f t="shared" si="302"/>
        <v>0</v>
      </c>
      <c r="AV156" s="81">
        <f t="shared" si="302"/>
        <v>0</v>
      </c>
      <c r="AW156" s="81">
        <f t="shared" si="302"/>
        <v>0</v>
      </c>
      <c r="AX156" s="81">
        <f t="shared" si="302"/>
        <v>0</v>
      </c>
      <c r="AY156" s="81">
        <f t="shared" si="302"/>
        <v>0</v>
      </c>
      <c r="AZ156" s="81">
        <f t="shared" si="302"/>
        <v>0</v>
      </c>
      <c r="BA156" s="82">
        <f t="shared" si="302"/>
        <v>0</v>
      </c>
      <c r="BB156" s="39" t="str">
        <f t="shared" si="24"/>
        <v>Liste 1</v>
      </c>
      <c r="BC156" s="39"/>
      <c r="BD156" s="39"/>
      <c r="BE156" s="39"/>
      <c r="BF156" s="39"/>
      <c r="BG156" s="39"/>
      <c r="BH156" s="39"/>
      <c r="BI156" s="39"/>
      <c r="BJ156" s="39"/>
      <c r="BK156" s="39"/>
      <c r="BL156" s="39"/>
      <c r="BM156" s="39"/>
    </row>
    <row r="157" spans="1:65" ht="16" x14ac:dyDescent="0.2">
      <c r="A157" s="77">
        <v>141</v>
      </c>
      <c r="B157" s="78">
        <f t="shared" ref="B157:R157" si="303">B$12/(AK156+1)</f>
        <v>0.2878787878787879</v>
      </c>
      <c r="C157" s="78">
        <f t="shared" si="303"/>
        <v>0.28947368421052633</v>
      </c>
      <c r="D157" s="78">
        <f t="shared" si="303"/>
        <v>0</v>
      </c>
      <c r="E157" s="78">
        <f t="shared" si="303"/>
        <v>0</v>
      </c>
      <c r="F157" s="78">
        <f t="shared" si="303"/>
        <v>0</v>
      </c>
      <c r="G157" s="78">
        <f t="shared" si="303"/>
        <v>0</v>
      </c>
      <c r="H157" s="78">
        <f t="shared" si="303"/>
        <v>0</v>
      </c>
      <c r="I157" s="78">
        <f t="shared" si="303"/>
        <v>0</v>
      </c>
      <c r="J157" s="78">
        <f t="shared" si="303"/>
        <v>0</v>
      </c>
      <c r="K157" s="78">
        <f t="shared" si="303"/>
        <v>0</v>
      </c>
      <c r="L157" s="78">
        <f t="shared" si="303"/>
        <v>0</v>
      </c>
      <c r="M157" s="78">
        <f t="shared" si="303"/>
        <v>0</v>
      </c>
      <c r="N157" s="78">
        <f t="shared" si="303"/>
        <v>0</v>
      </c>
      <c r="O157" s="78">
        <f t="shared" si="303"/>
        <v>0</v>
      </c>
      <c r="P157" s="78">
        <f t="shared" si="303"/>
        <v>0</v>
      </c>
      <c r="Q157" s="78">
        <f t="shared" si="303"/>
        <v>0</v>
      </c>
      <c r="R157" s="79">
        <f t="shared" si="303"/>
        <v>0</v>
      </c>
      <c r="S157" s="79">
        <f t="shared" si="5"/>
        <v>0.28947368421052633</v>
      </c>
      <c r="T157" s="80">
        <f t="shared" si="6"/>
        <v>0</v>
      </c>
      <c r="U157" s="80">
        <f t="shared" si="7"/>
        <v>1</v>
      </c>
      <c r="V157" s="80">
        <f t="shared" si="8"/>
        <v>0</v>
      </c>
      <c r="W157" s="80">
        <f t="shared" si="9"/>
        <v>0</v>
      </c>
      <c r="X157" s="80">
        <f t="shared" si="10"/>
        <v>0</v>
      </c>
      <c r="Y157" s="80">
        <f t="shared" si="11"/>
        <v>0</v>
      </c>
      <c r="Z157" s="80">
        <f t="shared" si="12"/>
        <v>0</v>
      </c>
      <c r="AA157" s="80">
        <f t="shared" si="13"/>
        <v>0</v>
      </c>
      <c r="AB157" s="80">
        <f t="shared" si="14"/>
        <v>0</v>
      </c>
      <c r="AC157" s="80">
        <f t="shared" si="15"/>
        <v>0</v>
      </c>
      <c r="AD157" s="80">
        <f t="shared" si="16"/>
        <v>0</v>
      </c>
      <c r="AE157" s="80">
        <f t="shared" si="17"/>
        <v>0</v>
      </c>
      <c r="AF157" s="80">
        <f t="shared" si="18"/>
        <v>0</v>
      </c>
      <c r="AG157" s="80">
        <f t="shared" si="19"/>
        <v>0</v>
      </c>
      <c r="AH157" s="80">
        <f t="shared" si="20"/>
        <v>0</v>
      </c>
      <c r="AI157" s="80">
        <f t="shared" si="21"/>
        <v>0</v>
      </c>
      <c r="AJ157" s="80">
        <f t="shared" si="22"/>
        <v>0</v>
      </c>
      <c r="AK157" s="80">
        <f t="shared" ref="AK157:BA157" si="304">T157+AK156</f>
        <v>65</v>
      </c>
      <c r="AL157" s="81">
        <f t="shared" si="304"/>
        <v>76</v>
      </c>
      <c r="AM157" s="81">
        <f t="shared" si="304"/>
        <v>0</v>
      </c>
      <c r="AN157" s="81">
        <f t="shared" si="304"/>
        <v>0</v>
      </c>
      <c r="AO157" s="81">
        <f t="shared" si="304"/>
        <v>0</v>
      </c>
      <c r="AP157" s="81">
        <f t="shared" si="304"/>
        <v>0</v>
      </c>
      <c r="AQ157" s="81">
        <f t="shared" si="304"/>
        <v>0</v>
      </c>
      <c r="AR157" s="81">
        <f t="shared" si="304"/>
        <v>0</v>
      </c>
      <c r="AS157" s="81">
        <f t="shared" si="304"/>
        <v>0</v>
      </c>
      <c r="AT157" s="81">
        <f t="shared" si="304"/>
        <v>0</v>
      </c>
      <c r="AU157" s="81">
        <f t="shared" si="304"/>
        <v>0</v>
      </c>
      <c r="AV157" s="81">
        <f t="shared" si="304"/>
        <v>0</v>
      </c>
      <c r="AW157" s="81">
        <f t="shared" si="304"/>
        <v>0</v>
      </c>
      <c r="AX157" s="81">
        <f t="shared" si="304"/>
        <v>0</v>
      </c>
      <c r="AY157" s="81">
        <f t="shared" si="304"/>
        <v>0</v>
      </c>
      <c r="AZ157" s="81">
        <f t="shared" si="304"/>
        <v>0</v>
      </c>
      <c r="BA157" s="82">
        <f t="shared" si="304"/>
        <v>0</v>
      </c>
      <c r="BB157" s="39" t="str">
        <f t="shared" si="24"/>
        <v>Liste 2</v>
      </c>
      <c r="BC157" s="39"/>
      <c r="BD157" s="39"/>
      <c r="BE157" s="39"/>
      <c r="BF157" s="39"/>
      <c r="BG157" s="39"/>
      <c r="BH157" s="39"/>
      <c r="BI157" s="39"/>
      <c r="BJ157" s="39"/>
      <c r="BK157" s="39"/>
      <c r="BL157" s="39"/>
      <c r="BM157" s="39"/>
    </row>
    <row r="158" spans="1:65" ht="16" x14ac:dyDescent="0.2">
      <c r="A158" s="77">
        <v>142</v>
      </c>
      <c r="B158" s="78">
        <f t="shared" ref="B158:R158" si="305">B$12/(AK157+1)</f>
        <v>0.2878787878787879</v>
      </c>
      <c r="C158" s="78">
        <f t="shared" si="305"/>
        <v>0.2857142857142857</v>
      </c>
      <c r="D158" s="78">
        <f t="shared" si="305"/>
        <v>0</v>
      </c>
      <c r="E158" s="78">
        <f t="shared" si="305"/>
        <v>0</v>
      </c>
      <c r="F158" s="78">
        <f t="shared" si="305"/>
        <v>0</v>
      </c>
      <c r="G158" s="78">
        <f t="shared" si="305"/>
        <v>0</v>
      </c>
      <c r="H158" s="78">
        <f t="shared" si="305"/>
        <v>0</v>
      </c>
      <c r="I158" s="78">
        <f t="shared" si="305"/>
        <v>0</v>
      </c>
      <c r="J158" s="78">
        <f t="shared" si="305"/>
        <v>0</v>
      </c>
      <c r="K158" s="78">
        <f t="shared" si="305"/>
        <v>0</v>
      </c>
      <c r="L158" s="78">
        <f t="shared" si="305"/>
        <v>0</v>
      </c>
      <c r="M158" s="78">
        <f t="shared" si="305"/>
        <v>0</v>
      </c>
      <c r="N158" s="78">
        <f t="shared" si="305"/>
        <v>0</v>
      </c>
      <c r="O158" s="78">
        <f t="shared" si="305"/>
        <v>0</v>
      </c>
      <c r="P158" s="78">
        <f t="shared" si="305"/>
        <v>0</v>
      </c>
      <c r="Q158" s="78">
        <f t="shared" si="305"/>
        <v>0</v>
      </c>
      <c r="R158" s="79">
        <f t="shared" si="305"/>
        <v>0</v>
      </c>
      <c r="S158" s="79">
        <f t="shared" si="5"/>
        <v>0.2878787878787879</v>
      </c>
      <c r="T158" s="80">
        <f t="shared" si="6"/>
        <v>1</v>
      </c>
      <c r="U158" s="80">
        <f t="shared" si="7"/>
        <v>0</v>
      </c>
      <c r="V158" s="80">
        <f t="shared" si="8"/>
        <v>0</v>
      </c>
      <c r="W158" s="80">
        <f t="shared" si="9"/>
        <v>0</v>
      </c>
      <c r="X158" s="80">
        <f t="shared" si="10"/>
        <v>0</v>
      </c>
      <c r="Y158" s="80">
        <f t="shared" si="11"/>
        <v>0</v>
      </c>
      <c r="Z158" s="80">
        <f t="shared" si="12"/>
        <v>0</v>
      </c>
      <c r="AA158" s="80">
        <f t="shared" si="13"/>
        <v>0</v>
      </c>
      <c r="AB158" s="80">
        <f t="shared" si="14"/>
        <v>0</v>
      </c>
      <c r="AC158" s="80">
        <f t="shared" si="15"/>
        <v>0</v>
      </c>
      <c r="AD158" s="80">
        <f t="shared" si="16"/>
        <v>0</v>
      </c>
      <c r="AE158" s="80">
        <f t="shared" si="17"/>
        <v>0</v>
      </c>
      <c r="AF158" s="80">
        <f t="shared" si="18"/>
        <v>0</v>
      </c>
      <c r="AG158" s="80">
        <f t="shared" si="19"/>
        <v>0</v>
      </c>
      <c r="AH158" s="80">
        <f t="shared" si="20"/>
        <v>0</v>
      </c>
      <c r="AI158" s="80">
        <f t="shared" si="21"/>
        <v>0</v>
      </c>
      <c r="AJ158" s="80">
        <f t="shared" si="22"/>
        <v>0</v>
      </c>
      <c r="AK158" s="80">
        <f t="shared" ref="AK158:BA158" si="306">T158+AK157</f>
        <v>66</v>
      </c>
      <c r="AL158" s="81">
        <f t="shared" si="306"/>
        <v>76</v>
      </c>
      <c r="AM158" s="81">
        <f t="shared" si="306"/>
        <v>0</v>
      </c>
      <c r="AN158" s="81">
        <f t="shared" si="306"/>
        <v>0</v>
      </c>
      <c r="AO158" s="81">
        <f t="shared" si="306"/>
        <v>0</v>
      </c>
      <c r="AP158" s="81">
        <f t="shared" si="306"/>
        <v>0</v>
      </c>
      <c r="AQ158" s="81">
        <f t="shared" si="306"/>
        <v>0</v>
      </c>
      <c r="AR158" s="81">
        <f t="shared" si="306"/>
        <v>0</v>
      </c>
      <c r="AS158" s="81">
        <f t="shared" si="306"/>
        <v>0</v>
      </c>
      <c r="AT158" s="81">
        <f t="shared" si="306"/>
        <v>0</v>
      </c>
      <c r="AU158" s="81">
        <f t="shared" si="306"/>
        <v>0</v>
      </c>
      <c r="AV158" s="81">
        <f t="shared" si="306"/>
        <v>0</v>
      </c>
      <c r="AW158" s="81">
        <f t="shared" si="306"/>
        <v>0</v>
      </c>
      <c r="AX158" s="81">
        <f t="shared" si="306"/>
        <v>0</v>
      </c>
      <c r="AY158" s="81">
        <f t="shared" si="306"/>
        <v>0</v>
      </c>
      <c r="AZ158" s="81">
        <f t="shared" si="306"/>
        <v>0</v>
      </c>
      <c r="BA158" s="82">
        <f t="shared" si="306"/>
        <v>0</v>
      </c>
      <c r="BB158" s="39" t="str">
        <f t="shared" si="24"/>
        <v>Liste 1</v>
      </c>
      <c r="BC158" s="39"/>
      <c r="BD158" s="39"/>
      <c r="BE158" s="39"/>
      <c r="BF158" s="39"/>
      <c r="BG158" s="39"/>
      <c r="BH158" s="39"/>
      <c r="BI158" s="39"/>
      <c r="BJ158" s="39"/>
      <c r="BK158" s="39"/>
      <c r="BL158" s="39"/>
      <c r="BM158" s="39"/>
    </row>
    <row r="159" spans="1:65" ht="16" x14ac:dyDescent="0.2">
      <c r="A159" s="77">
        <v>143</v>
      </c>
      <c r="B159" s="78">
        <f t="shared" ref="B159:R159" si="307">B$12/(AK158+1)</f>
        <v>0.28358208955223879</v>
      </c>
      <c r="C159" s="78">
        <f t="shared" si="307"/>
        <v>0.2857142857142857</v>
      </c>
      <c r="D159" s="78">
        <f t="shared" si="307"/>
        <v>0</v>
      </c>
      <c r="E159" s="78">
        <f t="shared" si="307"/>
        <v>0</v>
      </c>
      <c r="F159" s="78">
        <f t="shared" si="307"/>
        <v>0</v>
      </c>
      <c r="G159" s="78">
        <f t="shared" si="307"/>
        <v>0</v>
      </c>
      <c r="H159" s="78">
        <f t="shared" si="307"/>
        <v>0</v>
      </c>
      <c r="I159" s="78">
        <f t="shared" si="307"/>
        <v>0</v>
      </c>
      <c r="J159" s="78">
        <f t="shared" si="307"/>
        <v>0</v>
      </c>
      <c r="K159" s="78">
        <f t="shared" si="307"/>
        <v>0</v>
      </c>
      <c r="L159" s="78">
        <f t="shared" si="307"/>
        <v>0</v>
      </c>
      <c r="M159" s="78">
        <f t="shared" si="307"/>
        <v>0</v>
      </c>
      <c r="N159" s="78">
        <f t="shared" si="307"/>
        <v>0</v>
      </c>
      <c r="O159" s="78">
        <f t="shared" si="307"/>
        <v>0</v>
      </c>
      <c r="P159" s="78">
        <f t="shared" si="307"/>
        <v>0</v>
      </c>
      <c r="Q159" s="78">
        <f t="shared" si="307"/>
        <v>0</v>
      </c>
      <c r="R159" s="79">
        <f t="shared" si="307"/>
        <v>0</v>
      </c>
      <c r="S159" s="79">
        <f t="shared" si="5"/>
        <v>0.2857142857142857</v>
      </c>
      <c r="T159" s="80">
        <f t="shared" si="6"/>
        <v>0</v>
      </c>
      <c r="U159" s="80">
        <f t="shared" si="7"/>
        <v>1</v>
      </c>
      <c r="V159" s="80">
        <f t="shared" si="8"/>
        <v>0</v>
      </c>
      <c r="W159" s="80">
        <f t="shared" si="9"/>
        <v>0</v>
      </c>
      <c r="X159" s="80">
        <f t="shared" si="10"/>
        <v>0</v>
      </c>
      <c r="Y159" s="80">
        <f t="shared" si="11"/>
        <v>0</v>
      </c>
      <c r="Z159" s="80">
        <f t="shared" si="12"/>
        <v>0</v>
      </c>
      <c r="AA159" s="80">
        <f t="shared" si="13"/>
        <v>0</v>
      </c>
      <c r="AB159" s="80">
        <f t="shared" si="14"/>
        <v>0</v>
      </c>
      <c r="AC159" s="80">
        <f t="shared" si="15"/>
        <v>0</v>
      </c>
      <c r="AD159" s="80">
        <f t="shared" si="16"/>
        <v>0</v>
      </c>
      <c r="AE159" s="80">
        <f t="shared" si="17"/>
        <v>0</v>
      </c>
      <c r="AF159" s="80">
        <f t="shared" si="18"/>
        <v>0</v>
      </c>
      <c r="AG159" s="80">
        <f t="shared" si="19"/>
        <v>0</v>
      </c>
      <c r="AH159" s="80">
        <f t="shared" si="20"/>
        <v>0</v>
      </c>
      <c r="AI159" s="80">
        <f t="shared" si="21"/>
        <v>0</v>
      </c>
      <c r="AJ159" s="80">
        <f t="shared" si="22"/>
        <v>0</v>
      </c>
      <c r="AK159" s="80">
        <f t="shared" ref="AK159:BA159" si="308">T159+AK158</f>
        <v>66</v>
      </c>
      <c r="AL159" s="81">
        <f t="shared" si="308"/>
        <v>77</v>
      </c>
      <c r="AM159" s="81">
        <f t="shared" si="308"/>
        <v>0</v>
      </c>
      <c r="AN159" s="81">
        <f t="shared" si="308"/>
        <v>0</v>
      </c>
      <c r="AO159" s="81">
        <f t="shared" si="308"/>
        <v>0</v>
      </c>
      <c r="AP159" s="81">
        <f t="shared" si="308"/>
        <v>0</v>
      </c>
      <c r="AQ159" s="81">
        <f t="shared" si="308"/>
        <v>0</v>
      </c>
      <c r="AR159" s="81">
        <f t="shared" si="308"/>
        <v>0</v>
      </c>
      <c r="AS159" s="81">
        <f t="shared" si="308"/>
        <v>0</v>
      </c>
      <c r="AT159" s="81">
        <f t="shared" si="308"/>
        <v>0</v>
      </c>
      <c r="AU159" s="81">
        <f t="shared" si="308"/>
        <v>0</v>
      </c>
      <c r="AV159" s="81">
        <f t="shared" si="308"/>
        <v>0</v>
      </c>
      <c r="AW159" s="81">
        <f t="shared" si="308"/>
        <v>0</v>
      </c>
      <c r="AX159" s="81">
        <f t="shared" si="308"/>
        <v>0</v>
      </c>
      <c r="AY159" s="81">
        <f t="shared" si="308"/>
        <v>0</v>
      </c>
      <c r="AZ159" s="81">
        <f t="shared" si="308"/>
        <v>0</v>
      </c>
      <c r="BA159" s="82">
        <f t="shared" si="308"/>
        <v>0</v>
      </c>
      <c r="BB159" s="39" t="str">
        <f t="shared" si="24"/>
        <v>Liste 2</v>
      </c>
      <c r="BC159" s="39"/>
      <c r="BD159" s="39"/>
      <c r="BE159" s="39"/>
      <c r="BF159" s="39"/>
      <c r="BG159" s="39"/>
      <c r="BH159" s="39"/>
      <c r="BI159" s="39"/>
      <c r="BJ159" s="39"/>
      <c r="BK159" s="39"/>
      <c r="BL159" s="39"/>
      <c r="BM159" s="39"/>
    </row>
    <row r="160" spans="1:65" ht="16" x14ac:dyDescent="0.2">
      <c r="A160" s="77">
        <v>144</v>
      </c>
      <c r="B160" s="78">
        <f t="shared" ref="B160:R160" si="309">B$12/(AK159+1)</f>
        <v>0.28358208955223879</v>
      </c>
      <c r="C160" s="78">
        <f t="shared" si="309"/>
        <v>0.28205128205128205</v>
      </c>
      <c r="D160" s="78">
        <f t="shared" si="309"/>
        <v>0</v>
      </c>
      <c r="E160" s="78">
        <f t="shared" si="309"/>
        <v>0</v>
      </c>
      <c r="F160" s="78">
        <f t="shared" si="309"/>
        <v>0</v>
      </c>
      <c r="G160" s="78">
        <f t="shared" si="309"/>
        <v>0</v>
      </c>
      <c r="H160" s="78">
        <f t="shared" si="309"/>
        <v>0</v>
      </c>
      <c r="I160" s="78">
        <f t="shared" si="309"/>
        <v>0</v>
      </c>
      <c r="J160" s="78">
        <f t="shared" si="309"/>
        <v>0</v>
      </c>
      <c r="K160" s="78">
        <f t="shared" si="309"/>
        <v>0</v>
      </c>
      <c r="L160" s="78">
        <f t="shared" si="309"/>
        <v>0</v>
      </c>
      <c r="M160" s="78">
        <f t="shared" si="309"/>
        <v>0</v>
      </c>
      <c r="N160" s="78">
        <f t="shared" si="309"/>
        <v>0</v>
      </c>
      <c r="O160" s="78">
        <f t="shared" si="309"/>
        <v>0</v>
      </c>
      <c r="P160" s="78">
        <f t="shared" si="309"/>
        <v>0</v>
      </c>
      <c r="Q160" s="78">
        <f t="shared" si="309"/>
        <v>0</v>
      </c>
      <c r="R160" s="79">
        <f t="shared" si="309"/>
        <v>0</v>
      </c>
      <c r="S160" s="79">
        <f t="shared" si="5"/>
        <v>0.28358208955223879</v>
      </c>
      <c r="T160" s="80">
        <f t="shared" si="6"/>
        <v>1</v>
      </c>
      <c r="U160" s="80">
        <f t="shared" si="7"/>
        <v>0</v>
      </c>
      <c r="V160" s="80">
        <f t="shared" si="8"/>
        <v>0</v>
      </c>
      <c r="W160" s="80">
        <f t="shared" si="9"/>
        <v>0</v>
      </c>
      <c r="X160" s="80">
        <f t="shared" si="10"/>
        <v>0</v>
      </c>
      <c r="Y160" s="80">
        <f t="shared" si="11"/>
        <v>0</v>
      </c>
      <c r="Z160" s="80">
        <f t="shared" si="12"/>
        <v>0</v>
      </c>
      <c r="AA160" s="80">
        <f t="shared" si="13"/>
        <v>0</v>
      </c>
      <c r="AB160" s="80">
        <f t="shared" si="14"/>
        <v>0</v>
      </c>
      <c r="AC160" s="80">
        <f t="shared" si="15"/>
        <v>0</v>
      </c>
      <c r="AD160" s="80">
        <f t="shared" si="16"/>
        <v>0</v>
      </c>
      <c r="AE160" s="80">
        <f t="shared" si="17"/>
        <v>0</v>
      </c>
      <c r="AF160" s="80">
        <f t="shared" si="18"/>
        <v>0</v>
      </c>
      <c r="AG160" s="80">
        <f t="shared" si="19"/>
        <v>0</v>
      </c>
      <c r="AH160" s="80">
        <f t="shared" si="20"/>
        <v>0</v>
      </c>
      <c r="AI160" s="80">
        <f t="shared" si="21"/>
        <v>0</v>
      </c>
      <c r="AJ160" s="80">
        <f t="shared" si="22"/>
        <v>0</v>
      </c>
      <c r="AK160" s="80">
        <f t="shared" ref="AK160:BA160" si="310">T160+AK159</f>
        <v>67</v>
      </c>
      <c r="AL160" s="81">
        <f t="shared" si="310"/>
        <v>77</v>
      </c>
      <c r="AM160" s="81">
        <f t="shared" si="310"/>
        <v>0</v>
      </c>
      <c r="AN160" s="81">
        <f t="shared" si="310"/>
        <v>0</v>
      </c>
      <c r="AO160" s="81">
        <f t="shared" si="310"/>
        <v>0</v>
      </c>
      <c r="AP160" s="81">
        <f t="shared" si="310"/>
        <v>0</v>
      </c>
      <c r="AQ160" s="81">
        <f t="shared" si="310"/>
        <v>0</v>
      </c>
      <c r="AR160" s="81">
        <f t="shared" si="310"/>
        <v>0</v>
      </c>
      <c r="AS160" s="81">
        <f t="shared" si="310"/>
        <v>0</v>
      </c>
      <c r="AT160" s="81">
        <f t="shared" si="310"/>
        <v>0</v>
      </c>
      <c r="AU160" s="81">
        <f t="shared" si="310"/>
        <v>0</v>
      </c>
      <c r="AV160" s="81">
        <f t="shared" si="310"/>
        <v>0</v>
      </c>
      <c r="AW160" s="81">
        <f t="shared" si="310"/>
        <v>0</v>
      </c>
      <c r="AX160" s="81">
        <f t="shared" si="310"/>
        <v>0</v>
      </c>
      <c r="AY160" s="81">
        <f t="shared" si="310"/>
        <v>0</v>
      </c>
      <c r="AZ160" s="81">
        <f t="shared" si="310"/>
        <v>0</v>
      </c>
      <c r="BA160" s="82">
        <f t="shared" si="310"/>
        <v>0</v>
      </c>
      <c r="BB160" s="39" t="str">
        <f t="shared" si="24"/>
        <v>Liste 1</v>
      </c>
      <c r="BC160" s="39"/>
      <c r="BD160" s="39"/>
      <c r="BE160" s="39"/>
      <c r="BF160" s="39"/>
      <c r="BG160" s="39"/>
      <c r="BH160" s="39"/>
      <c r="BI160" s="39"/>
      <c r="BJ160" s="39"/>
      <c r="BK160" s="39"/>
      <c r="BL160" s="39"/>
      <c r="BM160" s="39"/>
    </row>
    <row r="161" spans="1:65" ht="16" x14ac:dyDescent="0.2">
      <c r="A161" s="77">
        <v>145</v>
      </c>
      <c r="B161" s="78">
        <f t="shared" ref="B161:R161" si="311">B$12/(AK160+1)</f>
        <v>0.27941176470588236</v>
      </c>
      <c r="C161" s="78">
        <f t="shared" si="311"/>
        <v>0.28205128205128205</v>
      </c>
      <c r="D161" s="78">
        <f t="shared" si="311"/>
        <v>0</v>
      </c>
      <c r="E161" s="78">
        <f t="shared" si="311"/>
        <v>0</v>
      </c>
      <c r="F161" s="78">
        <f t="shared" si="311"/>
        <v>0</v>
      </c>
      <c r="G161" s="78">
        <f t="shared" si="311"/>
        <v>0</v>
      </c>
      <c r="H161" s="78">
        <f t="shared" si="311"/>
        <v>0</v>
      </c>
      <c r="I161" s="78">
        <f t="shared" si="311"/>
        <v>0</v>
      </c>
      <c r="J161" s="78">
        <f t="shared" si="311"/>
        <v>0</v>
      </c>
      <c r="K161" s="78">
        <f t="shared" si="311"/>
        <v>0</v>
      </c>
      <c r="L161" s="78">
        <f t="shared" si="311"/>
        <v>0</v>
      </c>
      <c r="M161" s="78">
        <f t="shared" si="311"/>
        <v>0</v>
      </c>
      <c r="N161" s="78">
        <f t="shared" si="311"/>
        <v>0</v>
      </c>
      <c r="O161" s="78">
        <f t="shared" si="311"/>
        <v>0</v>
      </c>
      <c r="P161" s="78">
        <f t="shared" si="311"/>
        <v>0</v>
      </c>
      <c r="Q161" s="78">
        <f t="shared" si="311"/>
        <v>0</v>
      </c>
      <c r="R161" s="79">
        <f t="shared" si="311"/>
        <v>0</v>
      </c>
      <c r="S161" s="79">
        <f t="shared" si="5"/>
        <v>0.28205128205128205</v>
      </c>
      <c r="T161" s="80">
        <f t="shared" si="6"/>
        <v>0</v>
      </c>
      <c r="U161" s="80">
        <f t="shared" si="7"/>
        <v>1</v>
      </c>
      <c r="V161" s="80">
        <f t="shared" si="8"/>
        <v>0</v>
      </c>
      <c r="W161" s="80">
        <f t="shared" si="9"/>
        <v>0</v>
      </c>
      <c r="X161" s="80">
        <f t="shared" si="10"/>
        <v>0</v>
      </c>
      <c r="Y161" s="80">
        <f t="shared" si="11"/>
        <v>0</v>
      </c>
      <c r="Z161" s="80">
        <f t="shared" si="12"/>
        <v>0</v>
      </c>
      <c r="AA161" s="80">
        <f t="shared" si="13"/>
        <v>0</v>
      </c>
      <c r="AB161" s="80">
        <f t="shared" si="14"/>
        <v>0</v>
      </c>
      <c r="AC161" s="80">
        <f t="shared" si="15"/>
        <v>0</v>
      </c>
      <c r="AD161" s="80">
        <f t="shared" si="16"/>
        <v>0</v>
      </c>
      <c r="AE161" s="80">
        <f t="shared" si="17"/>
        <v>0</v>
      </c>
      <c r="AF161" s="80">
        <f t="shared" si="18"/>
        <v>0</v>
      </c>
      <c r="AG161" s="80">
        <f t="shared" si="19"/>
        <v>0</v>
      </c>
      <c r="AH161" s="80">
        <f t="shared" si="20"/>
        <v>0</v>
      </c>
      <c r="AI161" s="80">
        <f t="shared" si="21"/>
        <v>0</v>
      </c>
      <c r="AJ161" s="80">
        <f t="shared" si="22"/>
        <v>0</v>
      </c>
      <c r="AK161" s="80">
        <f t="shared" ref="AK161:BA161" si="312">T161+AK160</f>
        <v>67</v>
      </c>
      <c r="AL161" s="81">
        <f t="shared" si="312"/>
        <v>78</v>
      </c>
      <c r="AM161" s="81">
        <f t="shared" si="312"/>
        <v>0</v>
      </c>
      <c r="AN161" s="81">
        <f t="shared" si="312"/>
        <v>0</v>
      </c>
      <c r="AO161" s="81">
        <f t="shared" si="312"/>
        <v>0</v>
      </c>
      <c r="AP161" s="81">
        <f t="shared" si="312"/>
        <v>0</v>
      </c>
      <c r="AQ161" s="81">
        <f t="shared" si="312"/>
        <v>0</v>
      </c>
      <c r="AR161" s="81">
        <f t="shared" si="312"/>
        <v>0</v>
      </c>
      <c r="AS161" s="81">
        <f t="shared" si="312"/>
        <v>0</v>
      </c>
      <c r="AT161" s="81">
        <f t="shared" si="312"/>
        <v>0</v>
      </c>
      <c r="AU161" s="81">
        <f t="shared" si="312"/>
        <v>0</v>
      </c>
      <c r="AV161" s="81">
        <f t="shared" si="312"/>
        <v>0</v>
      </c>
      <c r="AW161" s="81">
        <f t="shared" si="312"/>
        <v>0</v>
      </c>
      <c r="AX161" s="81">
        <f t="shared" si="312"/>
        <v>0</v>
      </c>
      <c r="AY161" s="81">
        <f t="shared" si="312"/>
        <v>0</v>
      </c>
      <c r="AZ161" s="81">
        <f t="shared" si="312"/>
        <v>0</v>
      </c>
      <c r="BA161" s="82">
        <f t="shared" si="312"/>
        <v>0</v>
      </c>
      <c r="BB161" s="39" t="str">
        <f t="shared" si="24"/>
        <v>Liste 2</v>
      </c>
      <c r="BC161" s="39"/>
      <c r="BD161" s="39"/>
      <c r="BE161" s="39"/>
      <c r="BF161" s="39"/>
      <c r="BG161" s="39"/>
      <c r="BH161" s="39"/>
      <c r="BI161" s="39"/>
      <c r="BJ161" s="39"/>
      <c r="BK161" s="39"/>
      <c r="BL161" s="39"/>
      <c r="BM161" s="39"/>
    </row>
    <row r="162" spans="1:65" ht="16" x14ac:dyDescent="0.2">
      <c r="A162" s="77">
        <v>146</v>
      </c>
      <c r="B162" s="78">
        <f t="shared" ref="B162:R162" si="313">B$12/(AK161+1)</f>
        <v>0.27941176470588236</v>
      </c>
      <c r="C162" s="78">
        <f t="shared" si="313"/>
        <v>0.27848101265822783</v>
      </c>
      <c r="D162" s="78">
        <f t="shared" si="313"/>
        <v>0</v>
      </c>
      <c r="E162" s="78">
        <f t="shared" si="313"/>
        <v>0</v>
      </c>
      <c r="F162" s="78">
        <f t="shared" si="313"/>
        <v>0</v>
      </c>
      <c r="G162" s="78">
        <f t="shared" si="313"/>
        <v>0</v>
      </c>
      <c r="H162" s="78">
        <f t="shared" si="313"/>
        <v>0</v>
      </c>
      <c r="I162" s="78">
        <f t="shared" si="313"/>
        <v>0</v>
      </c>
      <c r="J162" s="78">
        <f t="shared" si="313"/>
        <v>0</v>
      </c>
      <c r="K162" s="78">
        <f t="shared" si="313"/>
        <v>0</v>
      </c>
      <c r="L162" s="78">
        <f t="shared" si="313"/>
        <v>0</v>
      </c>
      <c r="M162" s="78">
        <f t="shared" si="313"/>
        <v>0</v>
      </c>
      <c r="N162" s="78">
        <f t="shared" si="313"/>
        <v>0</v>
      </c>
      <c r="O162" s="78">
        <f t="shared" si="313"/>
        <v>0</v>
      </c>
      <c r="P162" s="78">
        <f t="shared" si="313"/>
        <v>0</v>
      </c>
      <c r="Q162" s="78">
        <f t="shared" si="313"/>
        <v>0</v>
      </c>
      <c r="R162" s="79">
        <f t="shared" si="313"/>
        <v>0</v>
      </c>
      <c r="S162" s="79">
        <f t="shared" si="5"/>
        <v>0.27941176470588236</v>
      </c>
      <c r="T162" s="80">
        <f t="shared" si="6"/>
        <v>1</v>
      </c>
      <c r="U162" s="80">
        <f t="shared" si="7"/>
        <v>0</v>
      </c>
      <c r="V162" s="80">
        <f t="shared" si="8"/>
        <v>0</v>
      </c>
      <c r="W162" s="80">
        <f t="shared" si="9"/>
        <v>0</v>
      </c>
      <c r="X162" s="80">
        <f t="shared" si="10"/>
        <v>0</v>
      </c>
      <c r="Y162" s="80">
        <f t="shared" si="11"/>
        <v>0</v>
      </c>
      <c r="Z162" s="80">
        <f t="shared" si="12"/>
        <v>0</v>
      </c>
      <c r="AA162" s="80">
        <f t="shared" si="13"/>
        <v>0</v>
      </c>
      <c r="AB162" s="80">
        <f t="shared" si="14"/>
        <v>0</v>
      </c>
      <c r="AC162" s="80">
        <f t="shared" si="15"/>
        <v>0</v>
      </c>
      <c r="AD162" s="80">
        <f t="shared" si="16"/>
        <v>0</v>
      </c>
      <c r="AE162" s="80">
        <f t="shared" si="17"/>
        <v>0</v>
      </c>
      <c r="AF162" s="80">
        <f t="shared" si="18"/>
        <v>0</v>
      </c>
      <c r="AG162" s="80">
        <f t="shared" si="19"/>
        <v>0</v>
      </c>
      <c r="AH162" s="80">
        <f t="shared" si="20"/>
        <v>0</v>
      </c>
      <c r="AI162" s="80">
        <f t="shared" si="21"/>
        <v>0</v>
      </c>
      <c r="AJ162" s="80">
        <f t="shared" si="22"/>
        <v>0</v>
      </c>
      <c r="AK162" s="80">
        <f t="shared" ref="AK162:BA162" si="314">T162+AK161</f>
        <v>68</v>
      </c>
      <c r="AL162" s="81">
        <f t="shared" si="314"/>
        <v>78</v>
      </c>
      <c r="AM162" s="81">
        <f t="shared" si="314"/>
        <v>0</v>
      </c>
      <c r="AN162" s="81">
        <f t="shared" si="314"/>
        <v>0</v>
      </c>
      <c r="AO162" s="81">
        <f t="shared" si="314"/>
        <v>0</v>
      </c>
      <c r="AP162" s="81">
        <f t="shared" si="314"/>
        <v>0</v>
      </c>
      <c r="AQ162" s="81">
        <f t="shared" si="314"/>
        <v>0</v>
      </c>
      <c r="AR162" s="81">
        <f t="shared" si="314"/>
        <v>0</v>
      </c>
      <c r="AS162" s="81">
        <f t="shared" si="314"/>
        <v>0</v>
      </c>
      <c r="AT162" s="81">
        <f t="shared" si="314"/>
        <v>0</v>
      </c>
      <c r="AU162" s="81">
        <f t="shared" si="314"/>
        <v>0</v>
      </c>
      <c r="AV162" s="81">
        <f t="shared" si="314"/>
        <v>0</v>
      </c>
      <c r="AW162" s="81">
        <f t="shared" si="314"/>
        <v>0</v>
      </c>
      <c r="AX162" s="81">
        <f t="shared" si="314"/>
        <v>0</v>
      </c>
      <c r="AY162" s="81">
        <f t="shared" si="314"/>
        <v>0</v>
      </c>
      <c r="AZ162" s="81">
        <f t="shared" si="314"/>
        <v>0</v>
      </c>
      <c r="BA162" s="82">
        <f t="shared" si="314"/>
        <v>0</v>
      </c>
      <c r="BB162" s="39" t="str">
        <f t="shared" si="24"/>
        <v>Liste 1</v>
      </c>
      <c r="BC162" s="39"/>
      <c r="BD162" s="39"/>
      <c r="BE162" s="39"/>
      <c r="BF162" s="39"/>
      <c r="BG162" s="39"/>
      <c r="BH162" s="39"/>
      <c r="BI162" s="39"/>
      <c r="BJ162" s="39"/>
      <c r="BK162" s="39"/>
      <c r="BL162" s="39"/>
      <c r="BM162" s="39"/>
    </row>
    <row r="163" spans="1:65" ht="16" x14ac:dyDescent="0.2">
      <c r="A163" s="77">
        <v>147</v>
      </c>
      <c r="B163" s="78">
        <f t="shared" ref="B163:R163" si="315">B$12/(AK162+1)</f>
        <v>0.27536231884057971</v>
      </c>
      <c r="C163" s="78">
        <f t="shared" si="315"/>
        <v>0.27848101265822783</v>
      </c>
      <c r="D163" s="78">
        <f t="shared" si="315"/>
        <v>0</v>
      </c>
      <c r="E163" s="78">
        <f t="shared" si="315"/>
        <v>0</v>
      </c>
      <c r="F163" s="78">
        <f t="shared" si="315"/>
        <v>0</v>
      </c>
      <c r="G163" s="78">
        <f t="shared" si="315"/>
        <v>0</v>
      </c>
      <c r="H163" s="78">
        <f t="shared" si="315"/>
        <v>0</v>
      </c>
      <c r="I163" s="78">
        <f t="shared" si="315"/>
        <v>0</v>
      </c>
      <c r="J163" s="78">
        <f t="shared" si="315"/>
        <v>0</v>
      </c>
      <c r="K163" s="78">
        <f t="shared" si="315"/>
        <v>0</v>
      </c>
      <c r="L163" s="78">
        <f t="shared" si="315"/>
        <v>0</v>
      </c>
      <c r="M163" s="78">
        <f t="shared" si="315"/>
        <v>0</v>
      </c>
      <c r="N163" s="78">
        <f t="shared" si="315"/>
        <v>0</v>
      </c>
      <c r="O163" s="78">
        <f t="shared" si="315"/>
        <v>0</v>
      </c>
      <c r="P163" s="78">
        <f t="shared" si="315"/>
        <v>0</v>
      </c>
      <c r="Q163" s="78">
        <f t="shared" si="315"/>
        <v>0</v>
      </c>
      <c r="R163" s="79">
        <f t="shared" si="315"/>
        <v>0</v>
      </c>
      <c r="S163" s="79">
        <f t="shared" si="5"/>
        <v>0.27848101265822783</v>
      </c>
      <c r="T163" s="80">
        <f t="shared" si="6"/>
        <v>0</v>
      </c>
      <c r="U163" s="80">
        <f t="shared" si="7"/>
        <v>1</v>
      </c>
      <c r="V163" s="80">
        <f t="shared" si="8"/>
        <v>0</v>
      </c>
      <c r="W163" s="80">
        <f t="shared" si="9"/>
        <v>0</v>
      </c>
      <c r="X163" s="80">
        <f t="shared" si="10"/>
        <v>0</v>
      </c>
      <c r="Y163" s="80">
        <f t="shared" si="11"/>
        <v>0</v>
      </c>
      <c r="Z163" s="80">
        <f t="shared" si="12"/>
        <v>0</v>
      </c>
      <c r="AA163" s="80">
        <f t="shared" si="13"/>
        <v>0</v>
      </c>
      <c r="AB163" s="80">
        <f t="shared" si="14"/>
        <v>0</v>
      </c>
      <c r="AC163" s="80">
        <f t="shared" si="15"/>
        <v>0</v>
      </c>
      <c r="AD163" s="80">
        <f t="shared" si="16"/>
        <v>0</v>
      </c>
      <c r="AE163" s="80">
        <f t="shared" si="17"/>
        <v>0</v>
      </c>
      <c r="AF163" s="80">
        <f t="shared" si="18"/>
        <v>0</v>
      </c>
      <c r="AG163" s="80">
        <f t="shared" si="19"/>
        <v>0</v>
      </c>
      <c r="AH163" s="80">
        <f t="shared" si="20"/>
        <v>0</v>
      </c>
      <c r="AI163" s="80">
        <f t="shared" si="21"/>
        <v>0</v>
      </c>
      <c r="AJ163" s="80">
        <f t="shared" si="22"/>
        <v>0</v>
      </c>
      <c r="AK163" s="80">
        <f t="shared" ref="AK163:BA163" si="316">T163+AK162</f>
        <v>68</v>
      </c>
      <c r="AL163" s="81">
        <f t="shared" si="316"/>
        <v>79</v>
      </c>
      <c r="AM163" s="81">
        <f t="shared" si="316"/>
        <v>0</v>
      </c>
      <c r="AN163" s="81">
        <f t="shared" si="316"/>
        <v>0</v>
      </c>
      <c r="AO163" s="81">
        <f t="shared" si="316"/>
        <v>0</v>
      </c>
      <c r="AP163" s="81">
        <f t="shared" si="316"/>
        <v>0</v>
      </c>
      <c r="AQ163" s="81">
        <f t="shared" si="316"/>
        <v>0</v>
      </c>
      <c r="AR163" s="81">
        <f t="shared" si="316"/>
        <v>0</v>
      </c>
      <c r="AS163" s="81">
        <f t="shared" si="316"/>
        <v>0</v>
      </c>
      <c r="AT163" s="81">
        <f t="shared" si="316"/>
        <v>0</v>
      </c>
      <c r="AU163" s="81">
        <f t="shared" si="316"/>
        <v>0</v>
      </c>
      <c r="AV163" s="81">
        <f t="shared" si="316"/>
        <v>0</v>
      </c>
      <c r="AW163" s="81">
        <f t="shared" si="316"/>
        <v>0</v>
      </c>
      <c r="AX163" s="81">
        <f t="shared" si="316"/>
        <v>0</v>
      </c>
      <c r="AY163" s="81">
        <f t="shared" si="316"/>
        <v>0</v>
      </c>
      <c r="AZ163" s="81">
        <f t="shared" si="316"/>
        <v>0</v>
      </c>
      <c r="BA163" s="82">
        <f t="shared" si="316"/>
        <v>0</v>
      </c>
      <c r="BB163" s="39" t="str">
        <f t="shared" si="24"/>
        <v>Liste 2</v>
      </c>
      <c r="BC163" s="39"/>
      <c r="BD163" s="39"/>
      <c r="BE163" s="39"/>
      <c r="BF163" s="39"/>
      <c r="BG163" s="39"/>
      <c r="BH163" s="39"/>
      <c r="BI163" s="39"/>
      <c r="BJ163" s="39"/>
      <c r="BK163" s="39"/>
      <c r="BL163" s="39"/>
      <c r="BM163" s="39"/>
    </row>
    <row r="164" spans="1:65" ht="16" x14ac:dyDescent="0.2">
      <c r="A164" s="77">
        <v>148</v>
      </c>
      <c r="B164" s="78">
        <f t="shared" ref="B164:R164" si="317">B$12/(AK163+1)</f>
        <v>0.27536231884057971</v>
      </c>
      <c r="C164" s="78">
        <f t="shared" si="317"/>
        <v>0.27500000000000002</v>
      </c>
      <c r="D164" s="78">
        <f t="shared" si="317"/>
        <v>0</v>
      </c>
      <c r="E164" s="78">
        <f t="shared" si="317"/>
        <v>0</v>
      </c>
      <c r="F164" s="78">
        <f t="shared" si="317"/>
        <v>0</v>
      </c>
      <c r="G164" s="78">
        <f t="shared" si="317"/>
        <v>0</v>
      </c>
      <c r="H164" s="78">
        <f t="shared" si="317"/>
        <v>0</v>
      </c>
      <c r="I164" s="78">
        <f t="shared" si="317"/>
        <v>0</v>
      </c>
      <c r="J164" s="78">
        <f t="shared" si="317"/>
        <v>0</v>
      </c>
      <c r="K164" s="78">
        <f t="shared" si="317"/>
        <v>0</v>
      </c>
      <c r="L164" s="78">
        <f t="shared" si="317"/>
        <v>0</v>
      </c>
      <c r="M164" s="78">
        <f t="shared" si="317"/>
        <v>0</v>
      </c>
      <c r="N164" s="78">
        <f t="shared" si="317"/>
        <v>0</v>
      </c>
      <c r="O164" s="78">
        <f t="shared" si="317"/>
        <v>0</v>
      </c>
      <c r="P164" s="78">
        <f t="shared" si="317"/>
        <v>0</v>
      </c>
      <c r="Q164" s="78">
        <f t="shared" si="317"/>
        <v>0</v>
      </c>
      <c r="R164" s="79">
        <f t="shared" si="317"/>
        <v>0</v>
      </c>
      <c r="S164" s="79">
        <f t="shared" si="5"/>
        <v>0.27536231884057971</v>
      </c>
      <c r="T164" s="80">
        <f t="shared" si="6"/>
        <v>1</v>
      </c>
      <c r="U164" s="80">
        <f t="shared" si="7"/>
        <v>0</v>
      </c>
      <c r="V164" s="80">
        <f t="shared" si="8"/>
        <v>0</v>
      </c>
      <c r="W164" s="80">
        <f t="shared" si="9"/>
        <v>0</v>
      </c>
      <c r="X164" s="80">
        <f t="shared" si="10"/>
        <v>0</v>
      </c>
      <c r="Y164" s="80">
        <f t="shared" si="11"/>
        <v>0</v>
      </c>
      <c r="Z164" s="80">
        <f t="shared" si="12"/>
        <v>0</v>
      </c>
      <c r="AA164" s="80">
        <f t="shared" si="13"/>
        <v>0</v>
      </c>
      <c r="AB164" s="80">
        <f t="shared" si="14"/>
        <v>0</v>
      </c>
      <c r="AC164" s="80">
        <f t="shared" si="15"/>
        <v>0</v>
      </c>
      <c r="AD164" s="80">
        <f t="shared" si="16"/>
        <v>0</v>
      </c>
      <c r="AE164" s="80">
        <f t="shared" si="17"/>
        <v>0</v>
      </c>
      <c r="AF164" s="80">
        <f t="shared" si="18"/>
        <v>0</v>
      </c>
      <c r="AG164" s="80">
        <f t="shared" si="19"/>
        <v>0</v>
      </c>
      <c r="AH164" s="80">
        <f t="shared" si="20"/>
        <v>0</v>
      </c>
      <c r="AI164" s="80">
        <f t="shared" si="21"/>
        <v>0</v>
      </c>
      <c r="AJ164" s="80">
        <f t="shared" si="22"/>
        <v>0</v>
      </c>
      <c r="AK164" s="80">
        <f t="shared" ref="AK164:BA164" si="318">T164+AK163</f>
        <v>69</v>
      </c>
      <c r="AL164" s="81">
        <f t="shared" si="318"/>
        <v>79</v>
      </c>
      <c r="AM164" s="81">
        <f t="shared" si="318"/>
        <v>0</v>
      </c>
      <c r="AN164" s="81">
        <f t="shared" si="318"/>
        <v>0</v>
      </c>
      <c r="AO164" s="81">
        <f t="shared" si="318"/>
        <v>0</v>
      </c>
      <c r="AP164" s="81">
        <f t="shared" si="318"/>
        <v>0</v>
      </c>
      <c r="AQ164" s="81">
        <f t="shared" si="318"/>
        <v>0</v>
      </c>
      <c r="AR164" s="81">
        <f t="shared" si="318"/>
        <v>0</v>
      </c>
      <c r="AS164" s="81">
        <f t="shared" si="318"/>
        <v>0</v>
      </c>
      <c r="AT164" s="81">
        <f t="shared" si="318"/>
        <v>0</v>
      </c>
      <c r="AU164" s="81">
        <f t="shared" si="318"/>
        <v>0</v>
      </c>
      <c r="AV164" s="81">
        <f t="shared" si="318"/>
        <v>0</v>
      </c>
      <c r="AW164" s="81">
        <f t="shared" si="318"/>
        <v>0</v>
      </c>
      <c r="AX164" s="81">
        <f t="shared" si="318"/>
        <v>0</v>
      </c>
      <c r="AY164" s="81">
        <f t="shared" si="318"/>
        <v>0</v>
      </c>
      <c r="AZ164" s="81">
        <f t="shared" si="318"/>
        <v>0</v>
      </c>
      <c r="BA164" s="82">
        <f t="shared" si="318"/>
        <v>0</v>
      </c>
      <c r="BB164" s="39" t="str">
        <f t="shared" si="24"/>
        <v>Liste 1</v>
      </c>
      <c r="BC164" s="39"/>
      <c r="BD164" s="39"/>
      <c r="BE164" s="39"/>
      <c r="BF164" s="39"/>
      <c r="BG164" s="39"/>
      <c r="BH164" s="39"/>
      <c r="BI164" s="39"/>
      <c r="BJ164" s="39"/>
      <c r="BK164" s="39"/>
      <c r="BL164" s="39"/>
      <c r="BM164" s="39"/>
    </row>
    <row r="165" spans="1:65" ht="16" x14ac:dyDescent="0.2">
      <c r="A165" s="77">
        <v>149</v>
      </c>
      <c r="B165" s="78">
        <f t="shared" ref="B165:R165" si="319">B$12/(AK164+1)</f>
        <v>0.27142857142857141</v>
      </c>
      <c r="C165" s="78">
        <f t="shared" si="319"/>
        <v>0.27500000000000002</v>
      </c>
      <c r="D165" s="78">
        <f t="shared" si="319"/>
        <v>0</v>
      </c>
      <c r="E165" s="78">
        <f t="shared" si="319"/>
        <v>0</v>
      </c>
      <c r="F165" s="78">
        <f t="shared" si="319"/>
        <v>0</v>
      </c>
      <c r="G165" s="78">
        <f t="shared" si="319"/>
        <v>0</v>
      </c>
      <c r="H165" s="78">
        <f t="shared" si="319"/>
        <v>0</v>
      </c>
      <c r="I165" s="78">
        <f t="shared" si="319"/>
        <v>0</v>
      </c>
      <c r="J165" s="78">
        <f t="shared" si="319"/>
        <v>0</v>
      </c>
      <c r="K165" s="78">
        <f t="shared" si="319"/>
        <v>0</v>
      </c>
      <c r="L165" s="78">
        <f t="shared" si="319"/>
        <v>0</v>
      </c>
      <c r="M165" s="78">
        <f t="shared" si="319"/>
        <v>0</v>
      </c>
      <c r="N165" s="78">
        <f t="shared" si="319"/>
        <v>0</v>
      </c>
      <c r="O165" s="78">
        <f t="shared" si="319"/>
        <v>0</v>
      </c>
      <c r="P165" s="78">
        <f t="shared" si="319"/>
        <v>0</v>
      </c>
      <c r="Q165" s="78">
        <f t="shared" si="319"/>
        <v>0</v>
      </c>
      <c r="R165" s="79">
        <f t="shared" si="319"/>
        <v>0</v>
      </c>
      <c r="S165" s="79">
        <f t="shared" si="5"/>
        <v>0.27500000000000002</v>
      </c>
      <c r="T165" s="80">
        <f t="shared" si="6"/>
        <v>0</v>
      </c>
      <c r="U165" s="80">
        <f t="shared" si="7"/>
        <v>1</v>
      </c>
      <c r="V165" s="80">
        <f t="shared" si="8"/>
        <v>0</v>
      </c>
      <c r="W165" s="80">
        <f t="shared" si="9"/>
        <v>0</v>
      </c>
      <c r="X165" s="80">
        <f t="shared" si="10"/>
        <v>0</v>
      </c>
      <c r="Y165" s="80">
        <f t="shared" si="11"/>
        <v>0</v>
      </c>
      <c r="Z165" s="80">
        <f t="shared" si="12"/>
        <v>0</v>
      </c>
      <c r="AA165" s="80">
        <f t="shared" si="13"/>
        <v>0</v>
      </c>
      <c r="AB165" s="80">
        <f t="shared" si="14"/>
        <v>0</v>
      </c>
      <c r="AC165" s="80">
        <f t="shared" si="15"/>
        <v>0</v>
      </c>
      <c r="AD165" s="80">
        <f t="shared" si="16"/>
        <v>0</v>
      </c>
      <c r="AE165" s="80">
        <f t="shared" si="17"/>
        <v>0</v>
      </c>
      <c r="AF165" s="80">
        <f t="shared" si="18"/>
        <v>0</v>
      </c>
      <c r="AG165" s="80">
        <f t="shared" si="19"/>
        <v>0</v>
      </c>
      <c r="AH165" s="80">
        <f t="shared" si="20"/>
        <v>0</v>
      </c>
      <c r="AI165" s="80">
        <f t="shared" si="21"/>
        <v>0</v>
      </c>
      <c r="AJ165" s="80">
        <f t="shared" si="22"/>
        <v>0</v>
      </c>
      <c r="AK165" s="80">
        <f t="shared" ref="AK165:BA165" si="320">T165+AK164</f>
        <v>69</v>
      </c>
      <c r="AL165" s="81">
        <f t="shared" si="320"/>
        <v>80</v>
      </c>
      <c r="AM165" s="81">
        <f t="shared" si="320"/>
        <v>0</v>
      </c>
      <c r="AN165" s="81">
        <f t="shared" si="320"/>
        <v>0</v>
      </c>
      <c r="AO165" s="81">
        <f t="shared" si="320"/>
        <v>0</v>
      </c>
      <c r="AP165" s="81">
        <f t="shared" si="320"/>
        <v>0</v>
      </c>
      <c r="AQ165" s="81">
        <f t="shared" si="320"/>
        <v>0</v>
      </c>
      <c r="AR165" s="81">
        <f t="shared" si="320"/>
        <v>0</v>
      </c>
      <c r="AS165" s="81">
        <f t="shared" si="320"/>
        <v>0</v>
      </c>
      <c r="AT165" s="81">
        <f t="shared" si="320"/>
        <v>0</v>
      </c>
      <c r="AU165" s="81">
        <f t="shared" si="320"/>
        <v>0</v>
      </c>
      <c r="AV165" s="81">
        <f t="shared" si="320"/>
        <v>0</v>
      </c>
      <c r="AW165" s="81">
        <f t="shared" si="320"/>
        <v>0</v>
      </c>
      <c r="AX165" s="81">
        <f t="shared" si="320"/>
        <v>0</v>
      </c>
      <c r="AY165" s="81">
        <f t="shared" si="320"/>
        <v>0</v>
      </c>
      <c r="AZ165" s="81">
        <f t="shared" si="320"/>
        <v>0</v>
      </c>
      <c r="BA165" s="82">
        <f t="shared" si="320"/>
        <v>0</v>
      </c>
      <c r="BB165" s="39" t="str">
        <f t="shared" si="24"/>
        <v>Liste 2</v>
      </c>
      <c r="BC165" s="39"/>
      <c r="BD165" s="39"/>
      <c r="BE165" s="39"/>
      <c r="BF165" s="39"/>
      <c r="BG165" s="39"/>
      <c r="BH165" s="39"/>
      <c r="BI165" s="39"/>
      <c r="BJ165" s="39"/>
      <c r="BK165" s="39"/>
      <c r="BL165" s="39"/>
      <c r="BM165" s="39"/>
    </row>
    <row r="166" spans="1:65" ht="16" x14ac:dyDescent="0.2">
      <c r="A166" s="77">
        <v>150</v>
      </c>
      <c r="B166" s="78">
        <f t="shared" ref="B166:R166" si="321">B$12/(AK165+1)</f>
        <v>0.27142857142857141</v>
      </c>
      <c r="C166" s="78">
        <f t="shared" si="321"/>
        <v>0.27160493827160492</v>
      </c>
      <c r="D166" s="78">
        <f t="shared" si="321"/>
        <v>0</v>
      </c>
      <c r="E166" s="78">
        <f t="shared" si="321"/>
        <v>0</v>
      </c>
      <c r="F166" s="78">
        <f t="shared" si="321"/>
        <v>0</v>
      </c>
      <c r="G166" s="78">
        <f t="shared" si="321"/>
        <v>0</v>
      </c>
      <c r="H166" s="78">
        <f t="shared" si="321"/>
        <v>0</v>
      </c>
      <c r="I166" s="78">
        <f t="shared" si="321"/>
        <v>0</v>
      </c>
      <c r="J166" s="78">
        <f t="shared" si="321"/>
        <v>0</v>
      </c>
      <c r="K166" s="78">
        <f t="shared" si="321"/>
        <v>0</v>
      </c>
      <c r="L166" s="78">
        <f t="shared" si="321"/>
        <v>0</v>
      </c>
      <c r="M166" s="78">
        <f t="shared" si="321"/>
        <v>0</v>
      </c>
      <c r="N166" s="78">
        <f t="shared" si="321"/>
        <v>0</v>
      </c>
      <c r="O166" s="78">
        <f t="shared" si="321"/>
        <v>0</v>
      </c>
      <c r="P166" s="78">
        <f t="shared" si="321"/>
        <v>0</v>
      </c>
      <c r="Q166" s="78">
        <f t="shared" si="321"/>
        <v>0</v>
      </c>
      <c r="R166" s="79">
        <f t="shared" si="321"/>
        <v>0</v>
      </c>
      <c r="S166" s="79">
        <f t="shared" si="5"/>
        <v>0.27160493827160492</v>
      </c>
      <c r="T166" s="80">
        <f t="shared" si="6"/>
        <v>0</v>
      </c>
      <c r="U166" s="80">
        <f t="shared" si="7"/>
        <v>1</v>
      </c>
      <c r="V166" s="80">
        <f t="shared" si="8"/>
        <v>0</v>
      </c>
      <c r="W166" s="80">
        <f t="shared" si="9"/>
        <v>0</v>
      </c>
      <c r="X166" s="80">
        <f t="shared" si="10"/>
        <v>0</v>
      </c>
      <c r="Y166" s="80">
        <f t="shared" si="11"/>
        <v>0</v>
      </c>
      <c r="Z166" s="80">
        <f t="shared" si="12"/>
        <v>0</v>
      </c>
      <c r="AA166" s="80">
        <f t="shared" si="13"/>
        <v>0</v>
      </c>
      <c r="AB166" s="80">
        <f t="shared" si="14"/>
        <v>0</v>
      </c>
      <c r="AC166" s="80">
        <f t="shared" si="15"/>
        <v>0</v>
      </c>
      <c r="AD166" s="80">
        <f t="shared" si="16"/>
        <v>0</v>
      </c>
      <c r="AE166" s="80">
        <f t="shared" si="17"/>
        <v>0</v>
      </c>
      <c r="AF166" s="80">
        <f t="shared" si="18"/>
        <v>0</v>
      </c>
      <c r="AG166" s="80">
        <f t="shared" si="19"/>
        <v>0</v>
      </c>
      <c r="AH166" s="80">
        <f t="shared" si="20"/>
        <v>0</v>
      </c>
      <c r="AI166" s="80">
        <f t="shared" si="21"/>
        <v>0</v>
      </c>
      <c r="AJ166" s="80">
        <f t="shared" si="22"/>
        <v>0</v>
      </c>
      <c r="AK166" s="80">
        <f t="shared" ref="AK166:BA166" si="322">T166+AK165</f>
        <v>69</v>
      </c>
      <c r="AL166" s="81">
        <f t="shared" si="322"/>
        <v>81</v>
      </c>
      <c r="AM166" s="81">
        <f t="shared" si="322"/>
        <v>0</v>
      </c>
      <c r="AN166" s="81">
        <f t="shared" si="322"/>
        <v>0</v>
      </c>
      <c r="AO166" s="81">
        <f t="shared" si="322"/>
        <v>0</v>
      </c>
      <c r="AP166" s="81">
        <f t="shared" si="322"/>
        <v>0</v>
      </c>
      <c r="AQ166" s="81">
        <f t="shared" si="322"/>
        <v>0</v>
      </c>
      <c r="AR166" s="81">
        <f t="shared" si="322"/>
        <v>0</v>
      </c>
      <c r="AS166" s="81">
        <f t="shared" si="322"/>
        <v>0</v>
      </c>
      <c r="AT166" s="81">
        <f t="shared" si="322"/>
        <v>0</v>
      </c>
      <c r="AU166" s="81">
        <f t="shared" si="322"/>
        <v>0</v>
      </c>
      <c r="AV166" s="81">
        <f t="shared" si="322"/>
        <v>0</v>
      </c>
      <c r="AW166" s="81">
        <f t="shared" si="322"/>
        <v>0</v>
      </c>
      <c r="AX166" s="81">
        <f t="shared" si="322"/>
        <v>0</v>
      </c>
      <c r="AY166" s="81">
        <f t="shared" si="322"/>
        <v>0</v>
      </c>
      <c r="AZ166" s="81">
        <f t="shared" si="322"/>
        <v>0</v>
      </c>
      <c r="BA166" s="82">
        <f t="shared" si="322"/>
        <v>0</v>
      </c>
      <c r="BB166" s="39" t="str">
        <f t="shared" si="24"/>
        <v>Liste 2</v>
      </c>
      <c r="BC166" s="39"/>
      <c r="BD166" s="39"/>
      <c r="BE166" s="39"/>
      <c r="BF166" s="39"/>
      <c r="BG166" s="39"/>
      <c r="BH166" s="39"/>
      <c r="BI166" s="39"/>
      <c r="BJ166" s="39"/>
      <c r="BK166" s="39"/>
      <c r="BL166" s="39"/>
      <c r="BM166" s="39"/>
    </row>
    <row r="167" spans="1:65" ht="16" x14ac:dyDescent="0.2">
      <c r="A167" s="77">
        <v>151</v>
      </c>
      <c r="B167" s="78">
        <f t="shared" ref="B167:R167" si="323">B$12/(AK166+1)</f>
        <v>0.27142857142857141</v>
      </c>
      <c r="C167" s="78">
        <f t="shared" si="323"/>
        <v>0.26829268292682928</v>
      </c>
      <c r="D167" s="78">
        <f t="shared" si="323"/>
        <v>0</v>
      </c>
      <c r="E167" s="78">
        <f t="shared" si="323"/>
        <v>0</v>
      </c>
      <c r="F167" s="78">
        <f t="shared" si="323"/>
        <v>0</v>
      </c>
      <c r="G167" s="78">
        <f t="shared" si="323"/>
        <v>0</v>
      </c>
      <c r="H167" s="78">
        <f t="shared" si="323"/>
        <v>0</v>
      </c>
      <c r="I167" s="78">
        <f t="shared" si="323"/>
        <v>0</v>
      </c>
      <c r="J167" s="78">
        <f t="shared" si="323"/>
        <v>0</v>
      </c>
      <c r="K167" s="78">
        <f t="shared" si="323"/>
        <v>0</v>
      </c>
      <c r="L167" s="78">
        <f t="shared" si="323"/>
        <v>0</v>
      </c>
      <c r="M167" s="78">
        <f t="shared" si="323"/>
        <v>0</v>
      </c>
      <c r="N167" s="78">
        <f t="shared" si="323"/>
        <v>0</v>
      </c>
      <c r="O167" s="78">
        <f t="shared" si="323"/>
        <v>0</v>
      </c>
      <c r="P167" s="78">
        <f t="shared" si="323"/>
        <v>0</v>
      </c>
      <c r="Q167" s="78">
        <f t="shared" si="323"/>
        <v>0</v>
      </c>
      <c r="R167" s="79">
        <f t="shared" si="323"/>
        <v>0</v>
      </c>
      <c r="S167" s="79">
        <f t="shared" si="5"/>
        <v>0.27142857142857141</v>
      </c>
      <c r="T167" s="80">
        <f t="shared" si="6"/>
        <v>1</v>
      </c>
      <c r="U167" s="80">
        <f t="shared" si="7"/>
        <v>0</v>
      </c>
      <c r="V167" s="80">
        <f t="shared" si="8"/>
        <v>0</v>
      </c>
      <c r="W167" s="80">
        <f t="shared" si="9"/>
        <v>0</v>
      </c>
      <c r="X167" s="80">
        <f t="shared" si="10"/>
        <v>0</v>
      </c>
      <c r="Y167" s="80">
        <f t="shared" si="11"/>
        <v>0</v>
      </c>
      <c r="Z167" s="80">
        <f t="shared" si="12"/>
        <v>0</v>
      </c>
      <c r="AA167" s="80">
        <f t="shared" si="13"/>
        <v>0</v>
      </c>
      <c r="AB167" s="80">
        <f t="shared" si="14"/>
        <v>0</v>
      </c>
      <c r="AC167" s="80">
        <f t="shared" si="15"/>
        <v>0</v>
      </c>
      <c r="AD167" s="80">
        <f t="shared" si="16"/>
        <v>0</v>
      </c>
      <c r="AE167" s="80">
        <f t="shared" si="17"/>
        <v>0</v>
      </c>
      <c r="AF167" s="80">
        <f t="shared" si="18"/>
        <v>0</v>
      </c>
      <c r="AG167" s="80">
        <f t="shared" si="19"/>
        <v>0</v>
      </c>
      <c r="AH167" s="80">
        <f t="shared" si="20"/>
        <v>0</v>
      </c>
      <c r="AI167" s="80">
        <f t="shared" si="21"/>
        <v>0</v>
      </c>
      <c r="AJ167" s="80">
        <f t="shared" si="22"/>
        <v>0</v>
      </c>
      <c r="AK167" s="80">
        <f t="shared" ref="AK167:BA167" si="324">T167+AK166</f>
        <v>70</v>
      </c>
      <c r="AL167" s="81">
        <f t="shared" si="324"/>
        <v>81</v>
      </c>
      <c r="AM167" s="81">
        <f t="shared" si="324"/>
        <v>0</v>
      </c>
      <c r="AN167" s="81">
        <f t="shared" si="324"/>
        <v>0</v>
      </c>
      <c r="AO167" s="81">
        <f t="shared" si="324"/>
        <v>0</v>
      </c>
      <c r="AP167" s="81">
        <f t="shared" si="324"/>
        <v>0</v>
      </c>
      <c r="AQ167" s="81">
        <f t="shared" si="324"/>
        <v>0</v>
      </c>
      <c r="AR167" s="81">
        <f t="shared" si="324"/>
        <v>0</v>
      </c>
      <c r="AS167" s="81">
        <f t="shared" si="324"/>
        <v>0</v>
      </c>
      <c r="AT167" s="81">
        <f t="shared" si="324"/>
        <v>0</v>
      </c>
      <c r="AU167" s="81">
        <f t="shared" si="324"/>
        <v>0</v>
      </c>
      <c r="AV167" s="81">
        <f t="shared" si="324"/>
        <v>0</v>
      </c>
      <c r="AW167" s="81">
        <f t="shared" si="324"/>
        <v>0</v>
      </c>
      <c r="AX167" s="81">
        <f t="shared" si="324"/>
        <v>0</v>
      </c>
      <c r="AY167" s="81">
        <f t="shared" si="324"/>
        <v>0</v>
      </c>
      <c r="AZ167" s="81">
        <f t="shared" si="324"/>
        <v>0</v>
      </c>
      <c r="BA167" s="82">
        <f t="shared" si="324"/>
        <v>0</v>
      </c>
      <c r="BB167" s="39" t="str">
        <f t="shared" si="24"/>
        <v>Liste 1</v>
      </c>
      <c r="BC167" s="39"/>
      <c r="BD167" s="39"/>
      <c r="BE167" s="39"/>
      <c r="BF167" s="39"/>
      <c r="BG167" s="39"/>
      <c r="BH167" s="39"/>
      <c r="BI167" s="39"/>
      <c r="BJ167" s="39"/>
      <c r="BK167" s="39"/>
      <c r="BL167" s="39"/>
      <c r="BM167" s="39"/>
    </row>
    <row r="168" spans="1:65" ht="16" x14ac:dyDescent="0.2">
      <c r="A168" s="77">
        <v>152</v>
      </c>
      <c r="B168" s="78">
        <f t="shared" ref="B168:R168" si="325">B$12/(AK167+1)</f>
        <v>0.26760563380281688</v>
      </c>
      <c r="C168" s="78">
        <f t="shared" si="325"/>
        <v>0.26829268292682928</v>
      </c>
      <c r="D168" s="78">
        <f t="shared" si="325"/>
        <v>0</v>
      </c>
      <c r="E168" s="78">
        <f t="shared" si="325"/>
        <v>0</v>
      </c>
      <c r="F168" s="78">
        <f t="shared" si="325"/>
        <v>0</v>
      </c>
      <c r="G168" s="78">
        <f t="shared" si="325"/>
        <v>0</v>
      </c>
      <c r="H168" s="78">
        <f t="shared" si="325"/>
        <v>0</v>
      </c>
      <c r="I168" s="78">
        <f t="shared" si="325"/>
        <v>0</v>
      </c>
      <c r="J168" s="78">
        <f t="shared" si="325"/>
        <v>0</v>
      </c>
      <c r="K168" s="78">
        <f t="shared" si="325"/>
        <v>0</v>
      </c>
      <c r="L168" s="78">
        <f t="shared" si="325"/>
        <v>0</v>
      </c>
      <c r="M168" s="78">
        <f t="shared" si="325"/>
        <v>0</v>
      </c>
      <c r="N168" s="78">
        <f t="shared" si="325"/>
        <v>0</v>
      </c>
      <c r="O168" s="78">
        <f t="shared" si="325"/>
        <v>0</v>
      </c>
      <c r="P168" s="78">
        <f t="shared" si="325"/>
        <v>0</v>
      </c>
      <c r="Q168" s="78">
        <f t="shared" si="325"/>
        <v>0</v>
      </c>
      <c r="R168" s="79">
        <f t="shared" si="325"/>
        <v>0</v>
      </c>
      <c r="S168" s="79">
        <f t="shared" si="5"/>
        <v>0.26829268292682928</v>
      </c>
      <c r="T168" s="80">
        <f t="shared" si="6"/>
        <v>0</v>
      </c>
      <c r="U168" s="80">
        <f t="shared" si="7"/>
        <v>1</v>
      </c>
      <c r="V168" s="80">
        <f t="shared" si="8"/>
        <v>0</v>
      </c>
      <c r="W168" s="80">
        <f t="shared" si="9"/>
        <v>0</v>
      </c>
      <c r="X168" s="80">
        <f t="shared" si="10"/>
        <v>0</v>
      </c>
      <c r="Y168" s="80">
        <f t="shared" si="11"/>
        <v>0</v>
      </c>
      <c r="Z168" s="80">
        <f t="shared" si="12"/>
        <v>0</v>
      </c>
      <c r="AA168" s="80">
        <f t="shared" si="13"/>
        <v>0</v>
      </c>
      <c r="AB168" s="80">
        <f t="shared" si="14"/>
        <v>0</v>
      </c>
      <c r="AC168" s="80">
        <f t="shared" si="15"/>
        <v>0</v>
      </c>
      <c r="AD168" s="80">
        <f t="shared" si="16"/>
        <v>0</v>
      </c>
      <c r="AE168" s="80">
        <f t="shared" si="17"/>
        <v>0</v>
      </c>
      <c r="AF168" s="80">
        <f t="shared" si="18"/>
        <v>0</v>
      </c>
      <c r="AG168" s="80">
        <f t="shared" si="19"/>
        <v>0</v>
      </c>
      <c r="AH168" s="80">
        <f t="shared" si="20"/>
        <v>0</v>
      </c>
      <c r="AI168" s="80">
        <f t="shared" si="21"/>
        <v>0</v>
      </c>
      <c r="AJ168" s="80">
        <f t="shared" si="22"/>
        <v>0</v>
      </c>
      <c r="AK168" s="80">
        <f t="shared" ref="AK168:BA168" si="326">T168+AK167</f>
        <v>70</v>
      </c>
      <c r="AL168" s="81">
        <f t="shared" si="326"/>
        <v>82</v>
      </c>
      <c r="AM168" s="81">
        <f t="shared" si="326"/>
        <v>0</v>
      </c>
      <c r="AN168" s="81">
        <f t="shared" si="326"/>
        <v>0</v>
      </c>
      <c r="AO168" s="81">
        <f t="shared" si="326"/>
        <v>0</v>
      </c>
      <c r="AP168" s="81">
        <f t="shared" si="326"/>
        <v>0</v>
      </c>
      <c r="AQ168" s="81">
        <f t="shared" si="326"/>
        <v>0</v>
      </c>
      <c r="AR168" s="81">
        <f t="shared" si="326"/>
        <v>0</v>
      </c>
      <c r="AS168" s="81">
        <f t="shared" si="326"/>
        <v>0</v>
      </c>
      <c r="AT168" s="81">
        <f t="shared" si="326"/>
        <v>0</v>
      </c>
      <c r="AU168" s="81">
        <f t="shared" si="326"/>
        <v>0</v>
      </c>
      <c r="AV168" s="81">
        <f t="shared" si="326"/>
        <v>0</v>
      </c>
      <c r="AW168" s="81">
        <f t="shared" si="326"/>
        <v>0</v>
      </c>
      <c r="AX168" s="81">
        <f t="shared" si="326"/>
        <v>0</v>
      </c>
      <c r="AY168" s="81">
        <f t="shared" si="326"/>
        <v>0</v>
      </c>
      <c r="AZ168" s="81">
        <f t="shared" si="326"/>
        <v>0</v>
      </c>
      <c r="BA168" s="82">
        <f t="shared" si="326"/>
        <v>0</v>
      </c>
      <c r="BB168" s="39" t="str">
        <f t="shared" si="24"/>
        <v>Liste 2</v>
      </c>
      <c r="BC168" s="39"/>
      <c r="BD168" s="39"/>
      <c r="BE168" s="39"/>
      <c r="BF168" s="39"/>
      <c r="BG168" s="39"/>
      <c r="BH168" s="39"/>
      <c r="BI168" s="39"/>
      <c r="BJ168" s="39"/>
      <c r="BK168" s="39"/>
      <c r="BL168" s="39"/>
      <c r="BM168" s="39"/>
    </row>
    <row r="169" spans="1:65" ht="16" x14ac:dyDescent="0.2">
      <c r="A169" s="77">
        <v>153</v>
      </c>
      <c r="B169" s="78">
        <f t="shared" ref="B169:R169" si="327">B$12/(AK168+1)</f>
        <v>0.26760563380281688</v>
      </c>
      <c r="C169" s="78">
        <f t="shared" si="327"/>
        <v>0.26506024096385544</v>
      </c>
      <c r="D169" s="78">
        <f t="shared" si="327"/>
        <v>0</v>
      </c>
      <c r="E169" s="78">
        <f t="shared" si="327"/>
        <v>0</v>
      </c>
      <c r="F169" s="78">
        <f t="shared" si="327"/>
        <v>0</v>
      </c>
      <c r="G169" s="78">
        <f t="shared" si="327"/>
        <v>0</v>
      </c>
      <c r="H169" s="78">
        <f t="shared" si="327"/>
        <v>0</v>
      </c>
      <c r="I169" s="78">
        <f t="shared" si="327"/>
        <v>0</v>
      </c>
      <c r="J169" s="78">
        <f t="shared" si="327"/>
        <v>0</v>
      </c>
      <c r="K169" s="78">
        <f t="shared" si="327"/>
        <v>0</v>
      </c>
      <c r="L169" s="78">
        <f t="shared" si="327"/>
        <v>0</v>
      </c>
      <c r="M169" s="78">
        <f t="shared" si="327"/>
        <v>0</v>
      </c>
      <c r="N169" s="78">
        <f t="shared" si="327"/>
        <v>0</v>
      </c>
      <c r="O169" s="78">
        <f t="shared" si="327"/>
        <v>0</v>
      </c>
      <c r="P169" s="78">
        <f t="shared" si="327"/>
        <v>0</v>
      </c>
      <c r="Q169" s="78">
        <f t="shared" si="327"/>
        <v>0</v>
      </c>
      <c r="R169" s="79">
        <f t="shared" si="327"/>
        <v>0</v>
      </c>
      <c r="S169" s="79">
        <f t="shared" si="5"/>
        <v>0.26760563380281688</v>
      </c>
      <c r="T169" s="80">
        <f t="shared" si="6"/>
        <v>1</v>
      </c>
      <c r="U169" s="80">
        <f t="shared" si="7"/>
        <v>0</v>
      </c>
      <c r="V169" s="80">
        <f t="shared" si="8"/>
        <v>0</v>
      </c>
      <c r="W169" s="80">
        <f t="shared" si="9"/>
        <v>0</v>
      </c>
      <c r="X169" s="80">
        <f t="shared" si="10"/>
        <v>0</v>
      </c>
      <c r="Y169" s="80">
        <f t="shared" si="11"/>
        <v>0</v>
      </c>
      <c r="Z169" s="80">
        <f t="shared" si="12"/>
        <v>0</v>
      </c>
      <c r="AA169" s="80">
        <f t="shared" si="13"/>
        <v>0</v>
      </c>
      <c r="AB169" s="80">
        <f t="shared" si="14"/>
        <v>0</v>
      </c>
      <c r="AC169" s="80">
        <f t="shared" si="15"/>
        <v>0</v>
      </c>
      <c r="AD169" s="80">
        <f t="shared" si="16"/>
        <v>0</v>
      </c>
      <c r="AE169" s="80">
        <f t="shared" si="17"/>
        <v>0</v>
      </c>
      <c r="AF169" s="80">
        <f t="shared" si="18"/>
        <v>0</v>
      </c>
      <c r="AG169" s="80">
        <f t="shared" si="19"/>
        <v>0</v>
      </c>
      <c r="AH169" s="80">
        <f t="shared" si="20"/>
        <v>0</v>
      </c>
      <c r="AI169" s="80">
        <f t="shared" si="21"/>
        <v>0</v>
      </c>
      <c r="AJ169" s="80">
        <f t="shared" si="22"/>
        <v>0</v>
      </c>
      <c r="AK169" s="80">
        <f t="shared" ref="AK169:BA169" si="328">T169+AK168</f>
        <v>71</v>
      </c>
      <c r="AL169" s="81">
        <f t="shared" si="328"/>
        <v>82</v>
      </c>
      <c r="AM169" s="81">
        <f t="shared" si="328"/>
        <v>0</v>
      </c>
      <c r="AN169" s="81">
        <f t="shared" si="328"/>
        <v>0</v>
      </c>
      <c r="AO169" s="81">
        <f t="shared" si="328"/>
        <v>0</v>
      </c>
      <c r="AP169" s="81">
        <f t="shared" si="328"/>
        <v>0</v>
      </c>
      <c r="AQ169" s="81">
        <f t="shared" si="328"/>
        <v>0</v>
      </c>
      <c r="AR169" s="81">
        <f t="shared" si="328"/>
        <v>0</v>
      </c>
      <c r="AS169" s="81">
        <f t="shared" si="328"/>
        <v>0</v>
      </c>
      <c r="AT169" s="81">
        <f t="shared" si="328"/>
        <v>0</v>
      </c>
      <c r="AU169" s="81">
        <f t="shared" si="328"/>
        <v>0</v>
      </c>
      <c r="AV169" s="81">
        <f t="shared" si="328"/>
        <v>0</v>
      </c>
      <c r="AW169" s="81">
        <f t="shared" si="328"/>
        <v>0</v>
      </c>
      <c r="AX169" s="81">
        <f t="shared" si="328"/>
        <v>0</v>
      </c>
      <c r="AY169" s="81">
        <f t="shared" si="328"/>
        <v>0</v>
      </c>
      <c r="AZ169" s="81">
        <f t="shared" si="328"/>
        <v>0</v>
      </c>
      <c r="BA169" s="82">
        <f t="shared" si="328"/>
        <v>0</v>
      </c>
      <c r="BB169" s="39" t="str">
        <f t="shared" si="24"/>
        <v>Liste 1</v>
      </c>
      <c r="BC169" s="39"/>
      <c r="BD169" s="39"/>
      <c r="BE169" s="39"/>
      <c r="BF169" s="39"/>
      <c r="BG169" s="39"/>
      <c r="BH169" s="39"/>
      <c r="BI169" s="39"/>
      <c r="BJ169" s="39"/>
      <c r="BK169" s="39"/>
      <c r="BL169" s="39"/>
      <c r="BM169" s="39"/>
    </row>
    <row r="170" spans="1:65" ht="16" x14ac:dyDescent="0.2">
      <c r="A170" s="77">
        <v>154</v>
      </c>
      <c r="B170" s="78">
        <f t="shared" ref="B170:R170" si="329">B$12/(AK169+1)</f>
        <v>0.2638888888888889</v>
      </c>
      <c r="C170" s="78">
        <f t="shared" si="329"/>
        <v>0.26506024096385544</v>
      </c>
      <c r="D170" s="78">
        <f t="shared" si="329"/>
        <v>0</v>
      </c>
      <c r="E170" s="78">
        <f t="shared" si="329"/>
        <v>0</v>
      </c>
      <c r="F170" s="78">
        <f t="shared" si="329"/>
        <v>0</v>
      </c>
      <c r="G170" s="78">
        <f t="shared" si="329"/>
        <v>0</v>
      </c>
      <c r="H170" s="78">
        <f t="shared" si="329"/>
        <v>0</v>
      </c>
      <c r="I170" s="78">
        <f t="shared" si="329"/>
        <v>0</v>
      </c>
      <c r="J170" s="78">
        <f t="shared" si="329"/>
        <v>0</v>
      </c>
      <c r="K170" s="78">
        <f t="shared" si="329"/>
        <v>0</v>
      </c>
      <c r="L170" s="78">
        <f t="shared" si="329"/>
        <v>0</v>
      </c>
      <c r="M170" s="78">
        <f t="shared" si="329"/>
        <v>0</v>
      </c>
      <c r="N170" s="78">
        <f t="shared" si="329"/>
        <v>0</v>
      </c>
      <c r="O170" s="78">
        <f t="shared" si="329"/>
        <v>0</v>
      </c>
      <c r="P170" s="78">
        <f t="shared" si="329"/>
        <v>0</v>
      </c>
      <c r="Q170" s="78">
        <f t="shared" si="329"/>
        <v>0</v>
      </c>
      <c r="R170" s="79">
        <f t="shared" si="329"/>
        <v>0</v>
      </c>
      <c r="S170" s="79">
        <f t="shared" si="5"/>
        <v>0.26506024096385544</v>
      </c>
      <c r="T170" s="80">
        <f t="shared" si="6"/>
        <v>0</v>
      </c>
      <c r="U170" s="80">
        <f t="shared" si="7"/>
        <v>1</v>
      </c>
      <c r="V170" s="80">
        <f t="shared" si="8"/>
        <v>0</v>
      </c>
      <c r="W170" s="80">
        <f t="shared" si="9"/>
        <v>0</v>
      </c>
      <c r="X170" s="80">
        <f t="shared" si="10"/>
        <v>0</v>
      </c>
      <c r="Y170" s="80">
        <f t="shared" si="11"/>
        <v>0</v>
      </c>
      <c r="Z170" s="80">
        <f t="shared" si="12"/>
        <v>0</v>
      </c>
      <c r="AA170" s="80">
        <f t="shared" si="13"/>
        <v>0</v>
      </c>
      <c r="AB170" s="80">
        <f t="shared" si="14"/>
        <v>0</v>
      </c>
      <c r="AC170" s="80">
        <f t="shared" si="15"/>
        <v>0</v>
      </c>
      <c r="AD170" s="80">
        <f t="shared" si="16"/>
        <v>0</v>
      </c>
      <c r="AE170" s="80">
        <f t="shared" si="17"/>
        <v>0</v>
      </c>
      <c r="AF170" s="80">
        <f t="shared" si="18"/>
        <v>0</v>
      </c>
      <c r="AG170" s="80">
        <f t="shared" si="19"/>
        <v>0</v>
      </c>
      <c r="AH170" s="80">
        <f t="shared" si="20"/>
        <v>0</v>
      </c>
      <c r="AI170" s="80">
        <f t="shared" si="21"/>
        <v>0</v>
      </c>
      <c r="AJ170" s="80">
        <f t="shared" si="22"/>
        <v>0</v>
      </c>
      <c r="AK170" s="80">
        <f t="shared" ref="AK170:BA170" si="330">T170+AK169</f>
        <v>71</v>
      </c>
      <c r="AL170" s="81">
        <f t="shared" si="330"/>
        <v>83</v>
      </c>
      <c r="AM170" s="81">
        <f t="shared" si="330"/>
        <v>0</v>
      </c>
      <c r="AN170" s="81">
        <f t="shared" si="330"/>
        <v>0</v>
      </c>
      <c r="AO170" s="81">
        <f t="shared" si="330"/>
        <v>0</v>
      </c>
      <c r="AP170" s="81">
        <f t="shared" si="330"/>
        <v>0</v>
      </c>
      <c r="AQ170" s="81">
        <f t="shared" si="330"/>
        <v>0</v>
      </c>
      <c r="AR170" s="81">
        <f t="shared" si="330"/>
        <v>0</v>
      </c>
      <c r="AS170" s="81">
        <f t="shared" si="330"/>
        <v>0</v>
      </c>
      <c r="AT170" s="81">
        <f t="shared" si="330"/>
        <v>0</v>
      </c>
      <c r="AU170" s="81">
        <f t="shared" si="330"/>
        <v>0</v>
      </c>
      <c r="AV170" s="81">
        <f t="shared" si="330"/>
        <v>0</v>
      </c>
      <c r="AW170" s="81">
        <f t="shared" si="330"/>
        <v>0</v>
      </c>
      <c r="AX170" s="81">
        <f t="shared" si="330"/>
        <v>0</v>
      </c>
      <c r="AY170" s="81">
        <f t="shared" si="330"/>
        <v>0</v>
      </c>
      <c r="AZ170" s="81">
        <f t="shared" si="330"/>
        <v>0</v>
      </c>
      <c r="BA170" s="82">
        <f t="shared" si="330"/>
        <v>0</v>
      </c>
      <c r="BB170" s="39" t="str">
        <f t="shared" si="24"/>
        <v>Liste 2</v>
      </c>
      <c r="BC170" s="39"/>
      <c r="BD170" s="39"/>
      <c r="BE170" s="39"/>
      <c r="BF170" s="39"/>
      <c r="BG170" s="39"/>
      <c r="BH170" s="39"/>
      <c r="BI170" s="39"/>
      <c r="BJ170" s="39"/>
      <c r="BK170" s="39"/>
      <c r="BL170" s="39"/>
      <c r="BM170" s="39"/>
    </row>
    <row r="171" spans="1:65" ht="16" x14ac:dyDescent="0.2">
      <c r="A171" s="77">
        <v>155</v>
      </c>
      <c r="B171" s="78">
        <f t="shared" ref="B171:R171" si="331">B$12/(AK170+1)</f>
        <v>0.2638888888888889</v>
      </c>
      <c r="C171" s="78">
        <f t="shared" si="331"/>
        <v>0.26190476190476192</v>
      </c>
      <c r="D171" s="78">
        <f t="shared" si="331"/>
        <v>0</v>
      </c>
      <c r="E171" s="78">
        <f t="shared" si="331"/>
        <v>0</v>
      </c>
      <c r="F171" s="78">
        <f t="shared" si="331"/>
        <v>0</v>
      </c>
      <c r="G171" s="78">
        <f t="shared" si="331"/>
        <v>0</v>
      </c>
      <c r="H171" s="78">
        <f t="shared" si="331"/>
        <v>0</v>
      </c>
      <c r="I171" s="78">
        <f t="shared" si="331"/>
        <v>0</v>
      </c>
      <c r="J171" s="78">
        <f t="shared" si="331"/>
        <v>0</v>
      </c>
      <c r="K171" s="78">
        <f t="shared" si="331"/>
        <v>0</v>
      </c>
      <c r="L171" s="78">
        <f t="shared" si="331"/>
        <v>0</v>
      </c>
      <c r="M171" s="78">
        <f t="shared" si="331"/>
        <v>0</v>
      </c>
      <c r="N171" s="78">
        <f t="shared" si="331"/>
        <v>0</v>
      </c>
      <c r="O171" s="78">
        <f t="shared" si="331"/>
        <v>0</v>
      </c>
      <c r="P171" s="78">
        <f t="shared" si="331"/>
        <v>0</v>
      </c>
      <c r="Q171" s="78">
        <f t="shared" si="331"/>
        <v>0</v>
      </c>
      <c r="R171" s="79">
        <f t="shared" si="331"/>
        <v>0</v>
      </c>
      <c r="S171" s="79">
        <f t="shared" si="5"/>
        <v>0.2638888888888889</v>
      </c>
      <c r="T171" s="80">
        <f t="shared" si="6"/>
        <v>1</v>
      </c>
      <c r="U171" s="80">
        <f t="shared" si="7"/>
        <v>0</v>
      </c>
      <c r="V171" s="80">
        <f t="shared" si="8"/>
        <v>0</v>
      </c>
      <c r="W171" s="80">
        <f t="shared" si="9"/>
        <v>0</v>
      </c>
      <c r="X171" s="80">
        <f t="shared" si="10"/>
        <v>0</v>
      </c>
      <c r="Y171" s="80">
        <f t="shared" si="11"/>
        <v>0</v>
      </c>
      <c r="Z171" s="80">
        <f t="shared" si="12"/>
        <v>0</v>
      </c>
      <c r="AA171" s="80">
        <f t="shared" si="13"/>
        <v>0</v>
      </c>
      <c r="AB171" s="80">
        <f t="shared" si="14"/>
        <v>0</v>
      </c>
      <c r="AC171" s="80">
        <f t="shared" si="15"/>
        <v>0</v>
      </c>
      <c r="AD171" s="80">
        <f t="shared" si="16"/>
        <v>0</v>
      </c>
      <c r="AE171" s="80">
        <f t="shared" si="17"/>
        <v>0</v>
      </c>
      <c r="AF171" s="80">
        <f t="shared" si="18"/>
        <v>0</v>
      </c>
      <c r="AG171" s="80">
        <f t="shared" si="19"/>
        <v>0</v>
      </c>
      <c r="AH171" s="80">
        <f t="shared" si="20"/>
        <v>0</v>
      </c>
      <c r="AI171" s="80">
        <f t="shared" si="21"/>
        <v>0</v>
      </c>
      <c r="AJ171" s="80">
        <f t="shared" si="22"/>
        <v>0</v>
      </c>
      <c r="AK171" s="80">
        <f t="shared" ref="AK171:BA171" si="332">T171+AK170</f>
        <v>72</v>
      </c>
      <c r="AL171" s="81">
        <f t="shared" si="332"/>
        <v>83</v>
      </c>
      <c r="AM171" s="81">
        <f t="shared" si="332"/>
        <v>0</v>
      </c>
      <c r="AN171" s="81">
        <f t="shared" si="332"/>
        <v>0</v>
      </c>
      <c r="AO171" s="81">
        <f t="shared" si="332"/>
        <v>0</v>
      </c>
      <c r="AP171" s="81">
        <f t="shared" si="332"/>
        <v>0</v>
      </c>
      <c r="AQ171" s="81">
        <f t="shared" si="332"/>
        <v>0</v>
      </c>
      <c r="AR171" s="81">
        <f t="shared" si="332"/>
        <v>0</v>
      </c>
      <c r="AS171" s="81">
        <f t="shared" si="332"/>
        <v>0</v>
      </c>
      <c r="AT171" s="81">
        <f t="shared" si="332"/>
        <v>0</v>
      </c>
      <c r="AU171" s="81">
        <f t="shared" si="332"/>
        <v>0</v>
      </c>
      <c r="AV171" s="81">
        <f t="shared" si="332"/>
        <v>0</v>
      </c>
      <c r="AW171" s="81">
        <f t="shared" si="332"/>
        <v>0</v>
      </c>
      <c r="AX171" s="81">
        <f t="shared" si="332"/>
        <v>0</v>
      </c>
      <c r="AY171" s="81">
        <f t="shared" si="332"/>
        <v>0</v>
      </c>
      <c r="AZ171" s="81">
        <f t="shared" si="332"/>
        <v>0</v>
      </c>
      <c r="BA171" s="82">
        <f t="shared" si="332"/>
        <v>0</v>
      </c>
      <c r="BB171" s="39" t="str">
        <f t="shared" si="24"/>
        <v>Liste 1</v>
      </c>
      <c r="BC171" s="39"/>
      <c r="BD171" s="39"/>
      <c r="BE171" s="39"/>
      <c r="BF171" s="39"/>
      <c r="BG171" s="39"/>
      <c r="BH171" s="39"/>
      <c r="BI171" s="39"/>
      <c r="BJ171" s="39"/>
      <c r="BK171" s="39"/>
      <c r="BL171" s="39"/>
      <c r="BM171" s="39"/>
    </row>
    <row r="172" spans="1:65" ht="16" x14ac:dyDescent="0.2">
      <c r="A172" s="77">
        <v>156</v>
      </c>
      <c r="B172" s="78">
        <f t="shared" ref="B172:R172" si="333">B$12/(AK171+1)</f>
        <v>0.26027397260273971</v>
      </c>
      <c r="C172" s="78">
        <f t="shared" si="333"/>
        <v>0.26190476190476192</v>
      </c>
      <c r="D172" s="78">
        <f t="shared" si="333"/>
        <v>0</v>
      </c>
      <c r="E172" s="78">
        <f t="shared" si="333"/>
        <v>0</v>
      </c>
      <c r="F172" s="78">
        <f t="shared" si="333"/>
        <v>0</v>
      </c>
      <c r="G172" s="78">
        <f t="shared" si="333"/>
        <v>0</v>
      </c>
      <c r="H172" s="78">
        <f t="shared" si="333"/>
        <v>0</v>
      </c>
      <c r="I172" s="78">
        <f t="shared" si="333"/>
        <v>0</v>
      </c>
      <c r="J172" s="78">
        <f t="shared" si="333"/>
        <v>0</v>
      </c>
      <c r="K172" s="78">
        <f t="shared" si="333"/>
        <v>0</v>
      </c>
      <c r="L172" s="78">
        <f t="shared" si="333"/>
        <v>0</v>
      </c>
      <c r="M172" s="78">
        <f t="shared" si="333"/>
        <v>0</v>
      </c>
      <c r="N172" s="78">
        <f t="shared" si="333"/>
        <v>0</v>
      </c>
      <c r="O172" s="78">
        <f t="shared" si="333"/>
        <v>0</v>
      </c>
      <c r="P172" s="78">
        <f t="shared" si="333"/>
        <v>0</v>
      </c>
      <c r="Q172" s="78">
        <f t="shared" si="333"/>
        <v>0</v>
      </c>
      <c r="R172" s="79">
        <f t="shared" si="333"/>
        <v>0</v>
      </c>
      <c r="S172" s="79">
        <f t="shared" si="5"/>
        <v>0.26190476190476192</v>
      </c>
      <c r="T172" s="80">
        <f t="shared" si="6"/>
        <v>0</v>
      </c>
      <c r="U172" s="80">
        <f t="shared" si="7"/>
        <v>1</v>
      </c>
      <c r="V172" s="80">
        <f t="shared" si="8"/>
        <v>0</v>
      </c>
      <c r="W172" s="80">
        <f t="shared" si="9"/>
        <v>0</v>
      </c>
      <c r="X172" s="80">
        <f t="shared" si="10"/>
        <v>0</v>
      </c>
      <c r="Y172" s="80">
        <f t="shared" si="11"/>
        <v>0</v>
      </c>
      <c r="Z172" s="80">
        <f t="shared" si="12"/>
        <v>0</v>
      </c>
      <c r="AA172" s="80">
        <f t="shared" si="13"/>
        <v>0</v>
      </c>
      <c r="AB172" s="80">
        <f t="shared" si="14"/>
        <v>0</v>
      </c>
      <c r="AC172" s="80">
        <f t="shared" si="15"/>
        <v>0</v>
      </c>
      <c r="AD172" s="80">
        <f t="shared" si="16"/>
        <v>0</v>
      </c>
      <c r="AE172" s="80">
        <f t="shared" si="17"/>
        <v>0</v>
      </c>
      <c r="AF172" s="80">
        <f t="shared" si="18"/>
        <v>0</v>
      </c>
      <c r="AG172" s="80">
        <f t="shared" si="19"/>
        <v>0</v>
      </c>
      <c r="AH172" s="80">
        <f t="shared" si="20"/>
        <v>0</v>
      </c>
      <c r="AI172" s="80">
        <f t="shared" si="21"/>
        <v>0</v>
      </c>
      <c r="AJ172" s="80">
        <f t="shared" si="22"/>
        <v>0</v>
      </c>
      <c r="AK172" s="80">
        <f t="shared" ref="AK172:BA172" si="334">T172+AK171</f>
        <v>72</v>
      </c>
      <c r="AL172" s="81">
        <f t="shared" si="334"/>
        <v>84</v>
      </c>
      <c r="AM172" s="81">
        <f t="shared" si="334"/>
        <v>0</v>
      </c>
      <c r="AN172" s="81">
        <f t="shared" si="334"/>
        <v>0</v>
      </c>
      <c r="AO172" s="81">
        <f t="shared" si="334"/>
        <v>0</v>
      </c>
      <c r="AP172" s="81">
        <f t="shared" si="334"/>
        <v>0</v>
      </c>
      <c r="AQ172" s="81">
        <f t="shared" si="334"/>
        <v>0</v>
      </c>
      <c r="AR172" s="81">
        <f t="shared" si="334"/>
        <v>0</v>
      </c>
      <c r="AS172" s="81">
        <f t="shared" si="334"/>
        <v>0</v>
      </c>
      <c r="AT172" s="81">
        <f t="shared" si="334"/>
        <v>0</v>
      </c>
      <c r="AU172" s="81">
        <f t="shared" si="334"/>
        <v>0</v>
      </c>
      <c r="AV172" s="81">
        <f t="shared" si="334"/>
        <v>0</v>
      </c>
      <c r="AW172" s="81">
        <f t="shared" si="334"/>
        <v>0</v>
      </c>
      <c r="AX172" s="81">
        <f t="shared" si="334"/>
        <v>0</v>
      </c>
      <c r="AY172" s="81">
        <f t="shared" si="334"/>
        <v>0</v>
      </c>
      <c r="AZ172" s="81">
        <f t="shared" si="334"/>
        <v>0</v>
      </c>
      <c r="BA172" s="82">
        <f t="shared" si="334"/>
        <v>0</v>
      </c>
      <c r="BB172" s="39" t="str">
        <f t="shared" si="24"/>
        <v>Liste 2</v>
      </c>
      <c r="BC172" s="39"/>
      <c r="BD172" s="39"/>
      <c r="BE172" s="39"/>
      <c r="BF172" s="39"/>
      <c r="BG172" s="39"/>
      <c r="BH172" s="39"/>
      <c r="BI172" s="39"/>
      <c r="BJ172" s="39"/>
      <c r="BK172" s="39"/>
      <c r="BL172" s="39"/>
      <c r="BM172" s="39"/>
    </row>
    <row r="173" spans="1:65" ht="16" x14ac:dyDescent="0.2">
      <c r="A173" s="77">
        <v>157</v>
      </c>
      <c r="B173" s="78">
        <f t="shared" ref="B173:R173" si="335">B$12/(AK172+1)</f>
        <v>0.26027397260273971</v>
      </c>
      <c r="C173" s="78">
        <f t="shared" si="335"/>
        <v>0.25882352941176473</v>
      </c>
      <c r="D173" s="78">
        <f t="shared" si="335"/>
        <v>0</v>
      </c>
      <c r="E173" s="78">
        <f t="shared" si="335"/>
        <v>0</v>
      </c>
      <c r="F173" s="78">
        <f t="shared" si="335"/>
        <v>0</v>
      </c>
      <c r="G173" s="78">
        <f t="shared" si="335"/>
        <v>0</v>
      </c>
      <c r="H173" s="78">
        <f t="shared" si="335"/>
        <v>0</v>
      </c>
      <c r="I173" s="78">
        <f t="shared" si="335"/>
        <v>0</v>
      </c>
      <c r="J173" s="78">
        <f t="shared" si="335"/>
        <v>0</v>
      </c>
      <c r="K173" s="78">
        <f t="shared" si="335"/>
        <v>0</v>
      </c>
      <c r="L173" s="78">
        <f t="shared" si="335"/>
        <v>0</v>
      </c>
      <c r="M173" s="78">
        <f t="shared" si="335"/>
        <v>0</v>
      </c>
      <c r="N173" s="78">
        <f t="shared" si="335"/>
        <v>0</v>
      </c>
      <c r="O173" s="78">
        <f t="shared" si="335"/>
        <v>0</v>
      </c>
      <c r="P173" s="78">
        <f t="shared" si="335"/>
        <v>0</v>
      </c>
      <c r="Q173" s="78">
        <f t="shared" si="335"/>
        <v>0</v>
      </c>
      <c r="R173" s="79">
        <f t="shared" si="335"/>
        <v>0</v>
      </c>
      <c r="S173" s="79">
        <f t="shared" si="5"/>
        <v>0.26027397260273971</v>
      </c>
      <c r="T173" s="80">
        <f t="shared" si="6"/>
        <v>1</v>
      </c>
      <c r="U173" s="80">
        <f t="shared" si="7"/>
        <v>0</v>
      </c>
      <c r="V173" s="80">
        <f t="shared" si="8"/>
        <v>0</v>
      </c>
      <c r="W173" s="80">
        <f t="shared" si="9"/>
        <v>0</v>
      </c>
      <c r="X173" s="80">
        <f t="shared" si="10"/>
        <v>0</v>
      </c>
      <c r="Y173" s="80">
        <f t="shared" si="11"/>
        <v>0</v>
      </c>
      <c r="Z173" s="80">
        <f t="shared" si="12"/>
        <v>0</v>
      </c>
      <c r="AA173" s="80">
        <f t="shared" si="13"/>
        <v>0</v>
      </c>
      <c r="AB173" s="80">
        <f t="shared" si="14"/>
        <v>0</v>
      </c>
      <c r="AC173" s="80">
        <f t="shared" si="15"/>
        <v>0</v>
      </c>
      <c r="AD173" s="80">
        <f t="shared" si="16"/>
        <v>0</v>
      </c>
      <c r="AE173" s="80">
        <f t="shared" si="17"/>
        <v>0</v>
      </c>
      <c r="AF173" s="80">
        <f t="shared" si="18"/>
        <v>0</v>
      </c>
      <c r="AG173" s="80">
        <f t="shared" si="19"/>
        <v>0</v>
      </c>
      <c r="AH173" s="80">
        <f t="shared" si="20"/>
        <v>0</v>
      </c>
      <c r="AI173" s="80">
        <f t="shared" si="21"/>
        <v>0</v>
      </c>
      <c r="AJ173" s="80">
        <f t="shared" si="22"/>
        <v>0</v>
      </c>
      <c r="AK173" s="80">
        <f t="shared" ref="AK173:BA173" si="336">T173+AK172</f>
        <v>73</v>
      </c>
      <c r="AL173" s="81">
        <f t="shared" si="336"/>
        <v>84</v>
      </c>
      <c r="AM173" s="81">
        <f t="shared" si="336"/>
        <v>0</v>
      </c>
      <c r="AN173" s="81">
        <f t="shared" si="336"/>
        <v>0</v>
      </c>
      <c r="AO173" s="81">
        <f t="shared" si="336"/>
        <v>0</v>
      </c>
      <c r="AP173" s="81">
        <f t="shared" si="336"/>
        <v>0</v>
      </c>
      <c r="AQ173" s="81">
        <f t="shared" si="336"/>
        <v>0</v>
      </c>
      <c r="AR173" s="81">
        <f t="shared" si="336"/>
        <v>0</v>
      </c>
      <c r="AS173" s="81">
        <f t="shared" si="336"/>
        <v>0</v>
      </c>
      <c r="AT173" s="81">
        <f t="shared" si="336"/>
        <v>0</v>
      </c>
      <c r="AU173" s="81">
        <f t="shared" si="336"/>
        <v>0</v>
      </c>
      <c r="AV173" s="81">
        <f t="shared" si="336"/>
        <v>0</v>
      </c>
      <c r="AW173" s="81">
        <f t="shared" si="336"/>
        <v>0</v>
      </c>
      <c r="AX173" s="81">
        <f t="shared" si="336"/>
        <v>0</v>
      </c>
      <c r="AY173" s="81">
        <f t="shared" si="336"/>
        <v>0</v>
      </c>
      <c r="AZ173" s="81">
        <f t="shared" si="336"/>
        <v>0</v>
      </c>
      <c r="BA173" s="82">
        <f t="shared" si="336"/>
        <v>0</v>
      </c>
      <c r="BB173" s="39" t="str">
        <f t="shared" si="24"/>
        <v>Liste 1</v>
      </c>
      <c r="BC173" s="39"/>
      <c r="BD173" s="39"/>
      <c r="BE173" s="39"/>
      <c r="BF173" s="39"/>
      <c r="BG173" s="39"/>
      <c r="BH173" s="39"/>
      <c r="BI173" s="39"/>
      <c r="BJ173" s="39"/>
      <c r="BK173" s="39"/>
      <c r="BL173" s="39"/>
      <c r="BM173" s="39"/>
    </row>
    <row r="174" spans="1:65" ht="16" x14ac:dyDescent="0.2">
      <c r="A174" s="77">
        <v>158</v>
      </c>
      <c r="B174" s="78">
        <f t="shared" ref="B174:R174" si="337">B$12/(AK173+1)</f>
        <v>0.25675675675675674</v>
      </c>
      <c r="C174" s="78">
        <f t="shared" si="337"/>
        <v>0.25882352941176473</v>
      </c>
      <c r="D174" s="78">
        <f t="shared" si="337"/>
        <v>0</v>
      </c>
      <c r="E174" s="78">
        <f t="shared" si="337"/>
        <v>0</v>
      </c>
      <c r="F174" s="78">
        <f t="shared" si="337"/>
        <v>0</v>
      </c>
      <c r="G174" s="78">
        <f t="shared" si="337"/>
        <v>0</v>
      </c>
      <c r="H174" s="78">
        <f t="shared" si="337"/>
        <v>0</v>
      </c>
      <c r="I174" s="78">
        <f t="shared" si="337"/>
        <v>0</v>
      </c>
      <c r="J174" s="78">
        <f t="shared" si="337"/>
        <v>0</v>
      </c>
      <c r="K174" s="78">
        <f t="shared" si="337"/>
        <v>0</v>
      </c>
      <c r="L174" s="78">
        <f t="shared" si="337"/>
        <v>0</v>
      </c>
      <c r="M174" s="78">
        <f t="shared" si="337"/>
        <v>0</v>
      </c>
      <c r="N174" s="78">
        <f t="shared" si="337"/>
        <v>0</v>
      </c>
      <c r="O174" s="78">
        <f t="shared" si="337"/>
        <v>0</v>
      </c>
      <c r="P174" s="78">
        <f t="shared" si="337"/>
        <v>0</v>
      </c>
      <c r="Q174" s="78">
        <f t="shared" si="337"/>
        <v>0</v>
      </c>
      <c r="R174" s="79">
        <f t="shared" si="337"/>
        <v>0</v>
      </c>
      <c r="S174" s="79">
        <f t="shared" si="5"/>
        <v>0.25882352941176473</v>
      </c>
      <c r="T174" s="80">
        <f t="shared" si="6"/>
        <v>0</v>
      </c>
      <c r="U174" s="80">
        <f t="shared" si="7"/>
        <v>1</v>
      </c>
      <c r="V174" s="80">
        <f t="shared" si="8"/>
        <v>0</v>
      </c>
      <c r="W174" s="80">
        <f t="shared" si="9"/>
        <v>0</v>
      </c>
      <c r="X174" s="80">
        <f t="shared" si="10"/>
        <v>0</v>
      </c>
      <c r="Y174" s="80">
        <f t="shared" si="11"/>
        <v>0</v>
      </c>
      <c r="Z174" s="80">
        <f t="shared" si="12"/>
        <v>0</v>
      </c>
      <c r="AA174" s="80">
        <f t="shared" si="13"/>
        <v>0</v>
      </c>
      <c r="AB174" s="80">
        <f t="shared" si="14"/>
        <v>0</v>
      </c>
      <c r="AC174" s="80">
        <f t="shared" si="15"/>
        <v>0</v>
      </c>
      <c r="AD174" s="80">
        <f t="shared" si="16"/>
        <v>0</v>
      </c>
      <c r="AE174" s="80">
        <f t="shared" si="17"/>
        <v>0</v>
      </c>
      <c r="AF174" s="80">
        <f t="shared" si="18"/>
        <v>0</v>
      </c>
      <c r="AG174" s="80">
        <f t="shared" si="19"/>
        <v>0</v>
      </c>
      <c r="AH174" s="80">
        <f t="shared" si="20"/>
        <v>0</v>
      </c>
      <c r="AI174" s="80">
        <f t="shared" si="21"/>
        <v>0</v>
      </c>
      <c r="AJ174" s="80">
        <f t="shared" si="22"/>
        <v>0</v>
      </c>
      <c r="AK174" s="80">
        <f t="shared" ref="AK174:BA174" si="338">T174+AK173</f>
        <v>73</v>
      </c>
      <c r="AL174" s="81">
        <f t="shared" si="338"/>
        <v>85</v>
      </c>
      <c r="AM174" s="81">
        <f t="shared" si="338"/>
        <v>0</v>
      </c>
      <c r="AN174" s="81">
        <f t="shared" si="338"/>
        <v>0</v>
      </c>
      <c r="AO174" s="81">
        <f t="shared" si="338"/>
        <v>0</v>
      </c>
      <c r="AP174" s="81">
        <f t="shared" si="338"/>
        <v>0</v>
      </c>
      <c r="AQ174" s="81">
        <f t="shared" si="338"/>
        <v>0</v>
      </c>
      <c r="AR174" s="81">
        <f t="shared" si="338"/>
        <v>0</v>
      </c>
      <c r="AS174" s="81">
        <f t="shared" si="338"/>
        <v>0</v>
      </c>
      <c r="AT174" s="81">
        <f t="shared" si="338"/>
        <v>0</v>
      </c>
      <c r="AU174" s="81">
        <f t="shared" si="338"/>
        <v>0</v>
      </c>
      <c r="AV174" s="81">
        <f t="shared" si="338"/>
        <v>0</v>
      </c>
      <c r="AW174" s="81">
        <f t="shared" si="338"/>
        <v>0</v>
      </c>
      <c r="AX174" s="81">
        <f t="shared" si="338"/>
        <v>0</v>
      </c>
      <c r="AY174" s="81">
        <f t="shared" si="338"/>
        <v>0</v>
      </c>
      <c r="AZ174" s="81">
        <f t="shared" si="338"/>
        <v>0</v>
      </c>
      <c r="BA174" s="82">
        <f t="shared" si="338"/>
        <v>0</v>
      </c>
      <c r="BB174" s="39" t="str">
        <f t="shared" si="24"/>
        <v>Liste 2</v>
      </c>
      <c r="BC174" s="39"/>
      <c r="BD174" s="39"/>
      <c r="BE174" s="39"/>
      <c r="BF174" s="39"/>
      <c r="BG174" s="39"/>
      <c r="BH174" s="39"/>
      <c r="BI174" s="39"/>
      <c r="BJ174" s="39"/>
      <c r="BK174" s="39"/>
      <c r="BL174" s="39"/>
      <c r="BM174" s="39"/>
    </row>
    <row r="175" spans="1:65" ht="16" x14ac:dyDescent="0.2">
      <c r="A175" s="77">
        <v>159</v>
      </c>
      <c r="B175" s="78">
        <f t="shared" ref="B175:R175" si="339">B$12/(AK174+1)</f>
        <v>0.25675675675675674</v>
      </c>
      <c r="C175" s="78">
        <f t="shared" si="339"/>
        <v>0.2558139534883721</v>
      </c>
      <c r="D175" s="78">
        <f t="shared" si="339"/>
        <v>0</v>
      </c>
      <c r="E175" s="78">
        <f t="shared" si="339"/>
        <v>0</v>
      </c>
      <c r="F175" s="78">
        <f t="shared" si="339"/>
        <v>0</v>
      </c>
      <c r="G175" s="78">
        <f t="shared" si="339"/>
        <v>0</v>
      </c>
      <c r="H175" s="78">
        <f t="shared" si="339"/>
        <v>0</v>
      </c>
      <c r="I175" s="78">
        <f t="shared" si="339"/>
        <v>0</v>
      </c>
      <c r="J175" s="78">
        <f t="shared" si="339"/>
        <v>0</v>
      </c>
      <c r="K175" s="78">
        <f t="shared" si="339"/>
        <v>0</v>
      </c>
      <c r="L175" s="78">
        <f t="shared" si="339"/>
        <v>0</v>
      </c>
      <c r="M175" s="78">
        <f t="shared" si="339"/>
        <v>0</v>
      </c>
      <c r="N175" s="78">
        <f t="shared" si="339"/>
        <v>0</v>
      </c>
      <c r="O175" s="78">
        <f t="shared" si="339"/>
        <v>0</v>
      </c>
      <c r="P175" s="78">
        <f t="shared" si="339"/>
        <v>0</v>
      </c>
      <c r="Q175" s="78">
        <f t="shared" si="339"/>
        <v>0</v>
      </c>
      <c r="R175" s="79">
        <f t="shared" si="339"/>
        <v>0</v>
      </c>
      <c r="S175" s="79">
        <f t="shared" si="5"/>
        <v>0.25675675675675674</v>
      </c>
      <c r="T175" s="80">
        <f t="shared" si="6"/>
        <v>1</v>
      </c>
      <c r="U175" s="80">
        <f t="shared" si="7"/>
        <v>0</v>
      </c>
      <c r="V175" s="80">
        <f t="shared" si="8"/>
        <v>0</v>
      </c>
      <c r="W175" s="80">
        <f t="shared" si="9"/>
        <v>0</v>
      </c>
      <c r="X175" s="80">
        <f t="shared" si="10"/>
        <v>0</v>
      </c>
      <c r="Y175" s="80">
        <f t="shared" si="11"/>
        <v>0</v>
      </c>
      <c r="Z175" s="80">
        <f t="shared" si="12"/>
        <v>0</v>
      </c>
      <c r="AA175" s="80">
        <f t="shared" si="13"/>
        <v>0</v>
      </c>
      <c r="AB175" s="80">
        <f t="shared" si="14"/>
        <v>0</v>
      </c>
      <c r="AC175" s="80">
        <f t="shared" si="15"/>
        <v>0</v>
      </c>
      <c r="AD175" s="80">
        <f t="shared" si="16"/>
        <v>0</v>
      </c>
      <c r="AE175" s="80">
        <f t="shared" si="17"/>
        <v>0</v>
      </c>
      <c r="AF175" s="80">
        <f t="shared" si="18"/>
        <v>0</v>
      </c>
      <c r="AG175" s="80">
        <f t="shared" si="19"/>
        <v>0</v>
      </c>
      <c r="AH175" s="80">
        <f t="shared" si="20"/>
        <v>0</v>
      </c>
      <c r="AI175" s="80">
        <f t="shared" si="21"/>
        <v>0</v>
      </c>
      <c r="AJ175" s="80">
        <f t="shared" si="22"/>
        <v>0</v>
      </c>
      <c r="AK175" s="80">
        <f t="shared" ref="AK175:BA175" si="340">T175+AK174</f>
        <v>74</v>
      </c>
      <c r="AL175" s="81">
        <f t="shared" si="340"/>
        <v>85</v>
      </c>
      <c r="AM175" s="81">
        <f t="shared" si="340"/>
        <v>0</v>
      </c>
      <c r="AN175" s="81">
        <f t="shared" si="340"/>
        <v>0</v>
      </c>
      <c r="AO175" s="81">
        <f t="shared" si="340"/>
        <v>0</v>
      </c>
      <c r="AP175" s="81">
        <f t="shared" si="340"/>
        <v>0</v>
      </c>
      <c r="AQ175" s="81">
        <f t="shared" si="340"/>
        <v>0</v>
      </c>
      <c r="AR175" s="81">
        <f t="shared" si="340"/>
        <v>0</v>
      </c>
      <c r="AS175" s="81">
        <f t="shared" si="340"/>
        <v>0</v>
      </c>
      <c r="AT175" s="81">
        <f t="shared" si="340"/>
        <v>0</v>
      </c>
      <c r="AU175" s="81">
        <f t="shared" si="340"/>
        <v>0</v>
      </c>
      <c r="AV175" s="81">
        <f t="shared" si="340"/>
        <v>0</v>
      </c>
      <c r="AW175" s="81">
        <f t="shared" si="340"/>
        <v>0</v>
      </c>
      <c r="AX175" s="81">
        <f t="shared" si="340"/>
        <v>0</v>
      </c>
      <c r="AY175" s="81">
        <f t="shared" si="340"/>
        <v>0</v>
      </c>
      <c r="AZ175" s="81">
        <f t="shared" si="340"/>
        <v>0</v>
      </c>
      <c r="BA175" s="82">
        <f t="shared" si="340"/>
        <v>0</v>
      </c>
      <c r="BB175" s="39" t="str">
        <f t="shared" si="24"/>
        <v>Liste 1</v>
      </c>
      <c r="BC175" s="39"/>
      <c r="BD175" s="39"/>
      <c r="BE175" s="39"/>
      <c r="BF175" s="39"/>
      <c r="BG175" s="39"/>
      <c r="BH175" s="39"/>
      <c r="BI175" s="39"/>
      <c r="BJ175" s="39"/>
      <c r="BK175" s="39"/>
      <c r="BL175" s="39"/>
      <c r="BM175" s="39"/>
    </row>
    <row r="176" spans="1:65" ht="16" x14ac:dyDescent="0.2">
      <c r="A176" s="77">
        <v>160</v>
      </c>
      <c r="B176" s="78">
        <f t="shared" ref="B176:R176" si="341">B$12/(AK175+1)</f>
        <v>0.25333333333333335</v>
      </c>
      <c r="C176" s="78">
        <f t="shared" si="341"/>
        <v>0.2558139534883721</v>
      </c>
      <c r="D176" s="78">
        <f t="shared" si="341"/>
        <v>0</v>
      </c>
      <c r="E176" s="78">
        <f t="shared" si="341"/>
        <v>0</v>
      </c>
      <c r="F176" s="78">
        <f t="shared" si="341"/>
        <v>0</v>
      </c>
      <c r="G176" s="78">
        <f t="shared" si="341"/>
        <v>0</v>
      </c>
      <c r="H176" s="78">
        <f t="shared" si="341"/>
        <v>0</v>
      </c>
      <c r="I176" s="78">
        <f t="shared" si="341"/>
        <v>0</v>
      </c>
      <c r="J176" s="78">
        <f t="shared" si="341"/>
        <v>0</v>
      </c>
      <c r="K176" s="78">
        <f t="shared" si="341"/>
        <v>0</v>
      </c>
      <c r="L176" s="78">
        <f t="shared" si="341"/>
        <v>0</v>
      </c>
      <c r="M176" s="78">
        <f t="shared" si="341"/>
        <v>0</v>
      </c>
      <c r="N176" s="78">
        <f t="shared" si="341"/>
        <v>0</v>
      </c>
      <c r="O176" s="78">
        <f t="shared" si="341"/>
        <v>0</v>
      </c>
      <c r="P176" s="78">
        <f t="shared" si="341"/>
        <v>0</v>
      </c>
      <c r="Q176" s="78">
        <f t="shared" si="341"/>
        <v>0</v>
      </c>
      <c r="R176" s="79">
        <f t="shared" si="341"/>
        <v>0</v>
      </c>
      <c r="S176" s="79">
        <f t="shared" si="5"/>
        <v>0.2558139534883721</v>
      </c>
      <c r="T176" s="80">
        <f t="shared" si="6"/>
        <v>0</v>
      </c>
      <c r="U176" s="80">
        <f t="shared" si="7"/>
        <v>1</v>
      </c>
      <c r="V176" s="80">
        <f t="shared" si="8"/>
        <v>0</v>
      </c>
      <c r="W176" s="80">
        <f t="shared" si="9"/>
        <v>0</v>
      </c>
      <c r="X176" s="80">
        <f t="shared" si="10"/>
        <v>0</v>
      </c>
      <c r="Y176" s="80">
        <f t="shared" si="11"/>
        <v>0</v>
      </c>
      <c r="Z176" s="80">
        <f t="shared" si="12"/>
        <v>0</v>
      </c>
      <c r="AA176" s="80">
        <f t="shared" si="13"/>
        <v>0</v>
      </c>
      <c r="AB176" s="80">
        <f t="shared" si="14"/>
        <v>0</v>
      </c>
      <c r="AC176" s="80">
        <f t="shared" si="15"/>
        <v>0</v>
      </c>
      <c r="AD176" s="80">
        <f t="shared" si="16"/>
        <v>0</v>
      </c>
      <c r="AE176" s="80">
        <f t="shared" si="17"/>
        <v>0</v>
      </c>
      <c r="AF176" s="80">
        <f t="shared" si="18"/>
        <v>0</v>
      </c>
      <c r="AG176" s="80">
        <f t="shared" si="19"/>
        <v>0</v>
      </c>
      <c r="AH176" s="80">
        <f t="shared" si="20"/>
        <v>0</v>
      </c>
      <c r="AI176" s="80">
        <f t="shared" si="21"/>
        <v>0</v>
      </c>
      <c r="AJ176" s="80">
        <f t="shared" si="22"/>
        <v>0</v>
      </c>
      <c r="AK176" s="80">
        <f t="shared" ref="AK176:BA176" si="342">T176+AK175</f>
        <v>74</v>
      </c>
      <c r="AL176" s="81">
        <f t="shared" si="342"/>
        <v>86</v>
      </c>
      <c r="AM176" s="81">
        <f t="shared" si="342"/>
        <v>0</v>
      </c>
      <c r="AN176" s="81">
        <f t="shared" si="342"/>
        <v>0</v>
      </c>
      <c r="AO176" s="81">
        <f t="shared" si="342"/>
        <v>0</v>
      </c>
      <c r="AP176" s="81">
        <f t="shared" si="342"/>
        <v>0</v>
      </c>
      <c r="AQ176" s="81">
        <f t="shared" si="342"/>
        <v>0</v>
      </c>
      <c r="AR176" s="81">
        <f t="shared" si="342"/>
        <v>0</v>
      </c>
      <c r="AS176" s="81">
        <f t="shared" si="342"/>
        <v>0</v>
      </c>
      <c r="AT176" s="81">
        <f t="shared" si="342"/>
        <v>0</v>
      </c>
      <c r="AU176" s="81">
        <f t="shared" si="342"/>
        <v>0</v>
      </c>
      <c r="AV176" s="81">
        <f t="shared" si="342"/>
        <v>0</v>
      </c>
      <c r="AW176" s="81">
        <f t="shared" si="342"/>
        <v>0</v>
      </c>
      <c r="AX176" s="81">
        <f t="shared" si="342"/>
        <v>0</v>
      </c>
      <c r="AY176" s="81">
        <f t="shared" si="342"/>
        <v>0</v>
      </c>
      <c r="AZ176" s="81">
        <f t="shared" si="342"/>
        <v>0</v>
      </c>
      <c r="BA176" s="82">
        <f t="shared" si="342"/>
        <v>0</v>
      </c>
      <c r="BB176" s="39" t="str">
        <f t="shared" si="24"/>
        <v>Liste 2</v>
      </c>
      <c r="BC176" s="39"/>
      <c r="BD176" s="39"/>
      <c r="BE176" s="39"/>
      <c r="BF176" s="39"/>
      <c r="BG176" s="39"/>
      <c r="BH176" s="39"/>
      <c r="BI176" s="39"/>
      <c r="BJ176" s="39"/>
      <c r="BK176" s="39"/>
      <c r="BL176" s="39"/>
      <c r="BM176" s="39"/>
    </row>
    <row r="177" spans="1:65" ht="16" x14ac:dyDescent="0.2">
      <c r="A177" s="77">
        <v>161</v>
      </c>
      <c r="B177" s="78">
        <f t="shared" ref="B177:R177" si="343">B$12/(AK176+1)</f>
        <v>0.25333333333333335</v>
      </c>
      <c r="C177" s="78">
        <f t="shared" si="343"/>
        <v>0.25287356321839083</v>
      </c>
      <c r="D177" s="78">
        <f t="shared" si="343"/>
        <v>0</v>
      </c>
      <c r="E177" s="78">
        <f t="shared" si="343"/>
        <v>0</v>
      </c>
      <c r="F177" s="78">
        <f t="shared" si="343"/>
        <v>0</v>
      </c>
      <c r="G177" s="78">
        <f t="shared" si="343"/>
        <v>0</v>
      </c>
      <c r="H177" s="78">
        <f t="shared" si="343"/>
        <v>0</v>
      </c>
      <c r="I177" s="78">
        <f t="shared" si="343"/>
        <v>0</v>
      </c>
      <c r="J177" s="78">
        <f t="shared" si="343"/>
        <v>0</v>
      </c>
      <c r="K177" s="78">
        <f t="shared" si="343"/>
        <v>0</v>
      </c>
      <c r="L177" s="78">
        <f t="shared" si="343"/>
        <v>0</v>
      </c>
      <c r="M177" s="78">
        <f t="shared" si="343"/>
        <v>0</v>
      </c>
      <c r="N177" s="78">
        <f t="shared" si="343"/>
        <v>0</v>
      </c>
      <c r="O177" s="78">
        <f t="shared" si="343"/>
        <v>0</v>
      </c>
      <c r="P177" s="78">
        <f t="shared" si="343"/>
        <v>0</v>
      </c>
      <c r="Q177" s="78">
        <f t="shared" si="343"/>
        <v>0</v>
      </c>
      <c r="R177" s="79">
        <f t="shared" si="343"/>
        <v>0</v>
      </c>
      <c r="S177" s="79">
        <f t="shared" si="5"/>
        <v>0.25333333333333335</v>
      </c>
      <c r="T177" s="80">
        <f t="shared" si="6"/>
        <v>1</v>
      </c>
      <c r="U177" s="80">
        <f t="shared" si="7"/>
        <v>0</v>
      </c>
      <c r="V177" s="80">
        <f t="shared" si="8"/>
        <v>0</v>
      </c>
      <c r="W177" s="80">
        <f t="shared" si="9"/>
        <v>0</v>
      </c>
      <c r="X177" s="80">
        <f t="shared" si="10"/>
        <v>0</v>
      </c>
      <c r="Y177" s="80">
        <f t="shared" si="11"/>
        <v>0</v>
      </c>
      <c r="Z177" s="80">
        <f t="shared" si="12"/>
        <v>0</v>
      </c>
      <c r="AA177" s="80">
        <f t="shared" si="13"/>
        <v>0</v>
      </c>
      <c r="AB177" s="80">
        <f t="shared" si="14"/>
        <v>0</v>
      </c>
      <c r="AC177" s="80">
        <f t="shared" si="15"/>
        <v>0</v>
      </c>
      <c r="AD177" s="80">
        <f t="shared" si="16"/>
        <v>0</v>
      </c>
      <c r="AE177" s="80">
        <f t="shared" si="17"/>
        <v>0</v>
      </c>
      <c r="AF177" s="80">
        <f t="shared" si="18"/>
        <v>0</v>
      </c>
      <c r="AG177" s="80">
        <f t="shared" si="19"/>
        <v>0</v>
      </c>
      <c r="AH177" s="80">
        <f t="shared" si="20"/>
        <v>0</v>
      </c>
      <c r="AI177" s="80">
        <f t="shared" si="21"/>
        <v>0</v>
      </c>
      <c r="AJ177" s="80">
        <f t="shared" si="22"/>
        <v>0</v>
      </c>
      <c r="AK177" s="80">
        <f t="shared" ref="AK177:BA177" si="344">T177+AK176</f>
        <v>75</v>
      </c>
      <c r="AL177" s="81">
        <f t="shared" si="344"/>
        <v>86</v>
      </c>
      <c r="AM177" s="81">
        <f t="shared" si="344"/>
        <v>0</v>
      </c>
      <c r="AN177" s="81">
        <f t="shared" si="344"/>
        <v>0</v>
      </c>
      <c r="AO177" s="81">
        <f t="shared" si="344"/>
        <v>0</v>
      </c>
      <c r="AP177" s="81">
        <f t="shared" si="344"/>
        <v>0</v>
      </c>
      <c r="AQ177" s="81">
        <f t="shared" si="344"/>
        <v>0</v>
      </c>
      <c r="AR177" s="81">
        <f t="shared" si="344"/>
        <v>0</v>
      </c>
      <c r="AS177" s="81">
        <f t="shared" si="344"/>
        <v>0</v>
      </c>
      <c r="AT177" s="81">
        <f t="shared" si="344"/>
        <v>0</v>
      </c>
      <c r="AU177" s="81">
        <f t="shared" si="344"/>
        <v>0</v>
      </c>
      <c r="AV177" s="81">
        <f t="shared" si="344"/>
        <v>0</v>
      </c>
      <c r="AW177" s="81">
        <f t="shared" si="344"/>
        <v>0</v>
      </c>
      <c r="AX177" s="81">
        <f t="shared" si="344"/>
        <v>0</v>
      </c>
      <c r="AY177" s="81">
        <f t="shared" si="344"/>
        <v>0</v>
      </c>
      <c r="AZ177" s="81">
        <f t="shared" si="344"/>
        <v>0</v>
      </c>
      <c r="BA177" s="82">
        <f t="shared" si="344"/>
        <v>0</v>
      </c>
      <c r="BB177" s="39" t="str">
        <f t="shared" si="24"/>
        <v>Liste 1</v>
      </c>
      <c r="BC177" s="39"/>
      <c r="BD177" s="39"/>
      <c r="BE177" s="39"/>
      <c r="BF177" s="39"/>
      <c r="BG177" s="39"/>
      <c r="BH177" s="39"/>
      <c r="BI177" s="39"/>
      <c r="BJ177" s="39"/>
      <c r="BK177" s="39"/>
      <c r="BL177" s="39"/>
      <c r="BM177" s="39"/>
    </row>
    <row r="178" spans="1:65" ht="16" x14ac:dyDescent="0.2">
      <c r="A178" s="77">
        <v>162</v>
      </c>
      <c r="B178" s="78">
        <f t="shared" ref="B178:R178" si="345">B$12/(AK177+1)</f>
        <v>0.25</v>
      </c>
      <c r="C178" s="78">
        <f t="shared" si="345"/>
        <v>0.25287356321839083</v>
      </c>
      <c r="D178" s="78">
        <f t="shared" si="345"/>
        <v>0</v>
      </c>
      <c r="E178" s="78">
        <f t="shared" si="345"/>
        <v>0</v>
      </c>
      <c r="F178" s="78">
        <f t="shared" si="345"/>
        <v>0</v>
      </c>
      <c r="G178" s="78">
        <f t="shared" si="345"/>
        <v>0</v>
      </c>
      <c r="H178" s="78">
        <f t="shared" si="345"/>
        <v>0</v>
      </c>
      <c r="I178" s="78">
        <f t="shared" si="345"/>
        <v>0</v>
      </c>
      <c r="J178" s="78">
        <f t="shared" si="345"/>
        <v>0</v>
      </c>
      <c r="K178" s="78">
        <f t="shared" si="345"/>
        <v>0</v>
      </c>
      <c r="L178" s="78">
        <f t="shared" si="345"/>
        <v>0</v>
      </c>
      <c r="M178" s="78">
        <f t="shared" si="345"/>
        <v>0</v>
      </c>
      <c r="N178" s="78">
        <f t="shared" si="345"/>
        <v>0</v>
      </c>
      <c r="O178" s="78">
        <f t="shared" si="345"/>
        <v>0</v>
      </c>
      <c r="P178" s="78">
        <f t="shared" si="345"/>
        <v>0</v>
      </c>
      <c r="Q178" s="78">
        <f t="shared" si="345"/>
        <v>0</v>
      </c>
      <c r="R178" s="79">
        <f t="shared" si="345"/>
        <v>0</v>
      </c>
      <c r="S178" s="79">
        <f t="shared" si="5"/>
        <v>0.25287356321839083</v>
      </c>
      <c r="T178" s="80">
        <f t="shared" si="6"/>
        <v>0</v>
      </c>
      <c r="U178" s="80">
        <f t="shared" si="7"/>
        <v>1</v>
      </c>
      <c r="V178" s="80">
        <f t="shared" si="8"/>
        <v>0</v>
      </c>
      <c r="W178" s="80">
        <f t="shared" si="9"/>
        <v>0</v>
      </c>
      <c r="X178" s="80">
        <f t="shared" si="10"/>
        <v>0</v>
      </c>
      <c r="Y178" s="80">
        <f t="shared" si="11"/>
        <v>0</v>
      </c>
      <c r="Z178" s="80">
        <f t="shared" si="12"/>
        <v>0</v>
      </c>
      <c r="AA178" s="80">
        <f t="shared" si="13"/>
        <v>0</v>
      </c>
      <c r="AB178" s="80">
        <f t="shared" si="14"/>
        <v>0</v>
      </c>
      <c r="AC178" s="80">
        <f t="shared" si="15"/>
        <v>0</v>
      </c>
      <c r="AD178" s="80">
        <f t="shared" si="16"/>
        <v>0</v>
      </c>
      <c r="AE178" s="80">
        <f t="shared" si="17"/>
        <v>0</v>
      </c>
      <c r="AF178" s="80">
        <f t="shared" si="18"/>
        <v>0</v>
      </c>
      <c r="AG178" s="80">
        <f t="shared" si="19"/>
        <v>0</v>
      </c>
      <c r="AH178" s="80">
        <f t="shared" si="20"/>
        <v>0</v>
      </c>
      <c r="AI178" s="80">
        <f t="shared" si="21"/>
        <v>0</v>
      </c>
      <c r="AJ178" s="80">
        <f t="shared" si="22"/>
        <v>0</v>
      </c>
      <c r="AK178" s="80">
        <f t="shared" ref="AK178:BA178" si="346">T178+AK177</f>
        <v>75</v>
      </c>
      <c r="AL178" s="81">
        <f t="shared" si="346"/>
        <v>87</v>
      </c>
      <c r="AM178" s="81">
        <f t="shared" si="346"/>
        <v>0</v>
      </c>
      <c r="AN178" s="81">
        <f t="shared" si="346"/>
        <v>0</v>
      </c>
      <c r="AO178" s="81">
        <f t="shared" si="346"/>
        <v>0</v>
      </c>
      <c r="AP178" s="81">
        <f t="shared" si="346"/>
        <v>0</v>
      </c>
      <c r="AQ178" s="81">
        <f t="shared" si="346"/>
        <v>0</v>
      </c>
      <c r="AR178" s="81">
        <f t="shared" si="346"/>
        <v>0</v>
      </c>
      <c r="AS178" s="81">
        <f t="shared" si="346"/>
        <v>0</v>
      </c>
      <c r="AT178" s="81">
        <f t="shared" si="346"/>
        <v>0</v>
      </c>
      <c r="AU178" s="81">
        <f t="shared" si="346"/>
        <v>0</v>
      </c>
      <c r="AV178" s="81">
        <f t="shared" si="346"/>
        <v>0</v>
      </c>
      <c r="AW178" s="81">
        <f t="shared" si="346"/>
        <v>0</v>
      </c>
      <c r="AX178" s="81">
        <f t="shared" si="346"/>
        <v>0</v>
      </c>
      <c r="AY178" s="81">
        <f t="shared" si="346"/>
        <v>0</v>
      </c>
      <c r="AZ178" s="81">
        <f t="shared" si="346"/>
        <v>0</v>
      </c>
      <c r="BA178" s="82">
        <f t="shared" si="346"/>
        <v>0</v>
      </c>
      <c r="BB178" s="39" t="str">
        <f t="shared" si="24"/>
        <v>Liste 2</v>
      </c>
      <c r="BC178" s="39"/>
      <c r="BD178" s="39"/>
      <c r="BE178" s="39"/>
      <c r="BF178" s="39"/>
      <c r="BG178" s="39"/>
      <c r="BH178" s="39"/>
      <c r="BI178" s="39"/>
      <c r="BJ178" s="39"/>
      <c r="BK178" s="39"/>
      <c r="BL178" s="39"/>
      <c r="BM178" s="39"/>
    </row>
    <row r="179" spans="1:65" ht="16" x14ac:dyDescent="0.2">
      <c r="A179" s="77">
        <v>163</v>
      </c>
      <c r="B179" s="78">
        <f t="shared" ref="B179:R179" si="347">B$12/(AK178+1)</f>
        <v>0.25</v>
      </c>
      <c r="C179" s="78">
        <f t="shared" si="347"/>
        <v>0.25</v>
      </c>
      <c r="D179" s="78">
        <f t="shared" si="347"/>
        <v>0</v>
      </c>
      <c r="E179" s="78">
        <f t="shared" si="347"/>
        <v>0</v>
      </c>
      <c r="F179" s="78">
        <f t="shared" si="347"/>
        <v>0</v>
      </c>
      <c r="G179" s="78">
        <f t="shared" si="347"/>
        <v>0</v>
      </c>
      <c r="H179" s="78">
        <f t="shared" si="347"/>
        <v>0</v>
      </c>
      <c r="I179" s="78">
        <f t="shared" si="347"/>
        <v>0</v>
      </c>
      <c r="J179" s="78">
        <f t="shared" si="347"/>
        <v>0</v>
      </c>
      <c r="K179" s="78">
        <f t="shared" si="347"/>
        <v>0</v>
      </c>
      <c r="L179" s="78">
        <f t="shared" si="347"/>
        <v>0</v>
      </c>
      <c r="M179" s="78">
        <f t="shared" si="347"/>
        <v>0</v>
      </c>
      <c r="N179" s="78">
        <f t="shared" si="347"/>
        <v>0</v>
      </c>
      <c r="O179" s="78">
        <f t="shared" si="347"/>
        <v>0</v>
      </c>
      <c r="P179" s="78">
        <f t="shared" si="347"/>
        <v>0</v>
      </c>
      <c r="Q179" s="78">
        <f t="shared" si="347"/>
        <v>0</v>
      </c>
      <c r="R179" s="79">
        <f t="shared" si="347"/>
        <v>0</v>
      </c>
      <c r="S179" s="79">
        <f t="shared" si="5"/>
        <v>0.25</v>
      </c>
      <c r="T179" s="80">
        <f t="shared" si="6"/>
        <v>1</v>
      </c>
      <c r="U179" s="80">
        <f t="shared" si="7"/>
        <v>0</v>
      </c>
      <c r="V179" s="80">
        <f t="shared" si="8"/>
        <v>0</v>
      </c>
      <c r="W179" s="80">
        <f t="shared" si="9"/>
        <v>0</v>
      </c>
      <c r="X179" s="80">
        <f t="shared" si="10"/>
        <v>0</v>
      </c>
      <c r="Y179" s="80">
        <f t="shared" si="11"/>
        <v>0</v>
      </c>
      <c r="Z179" s="80">
        <f t="shared" si="12"/>
        <v>0</v>
      </c>
      <c r="AA179" s="80">
        <f t="shared" si="13"/>
        <v>0</v>
      </c>
      <c r="AB179" s="80">
        <f t="shared" si="14"/>
        <v>0</v>
      </c>
      <c r="AC179" s="80">
        <f t="shared" si="15"/>
        <v>0</v>
      </c>
      <c r="AD179" s="80">
        <f t="shared" si="16"/>
        <v>0</v>
      </c>
      <c r="AE179" s="80">
        <f t="shared" si="17"/>
        <v>0</v>
      </c>
      <c r="AF179" s="80">
        <f t="shared" si="18"/>
        <v>0</v>
      </c>
      <c r="AG179" s="80">
        <f t="shared" si="19"/>
        <v>0</v>
      </c>
      <c r="AH179" s="80">
        <f t="shared" si="20"/>
        <v>0</v>
      </c>
      <c r="AI179" s="80">
        <f t="shared" si="21"/>
        <v>0</v>
      </c>
      <c r="AJ179" s="80">
        <f t="shared" si="22"/>
        <v>0</v>
      </c>
      <c r="AK179" s="80">
        <f t="shared" ref="AK179:BA179" si="348">T179+AK178</f>
        <v>76</v>
      </c>
      <c r="AL179" s="81">
        <f t="shared" si="348"/>
        <v>87</v>
      </c>
      <c r="AM179" s="81">
        <f t="shared" si="348"/>
        <v>0</v>
      </c>
      <c r="AN179" s="81">
        <f t="shared" si="348"/>
        <v>0</v>
      </c>
      <c r="AO179" s="81">
        <f t="shared" si="348"/>
        <v>0</v>
      </c>
      <c r="AP179" s="81">
        <f t="shared" si="348"/>
        <v>0</v>
      </c>
      <c r="AQ179" s="81">
        <f t="shared" si="348"/>
        <v>0</v>
      </c>
      <c r="AR179" s="81">
        <f t="shared" si="348"/>
        <v>0</v>
      </c>
      <c r="AS179" s="81">
        <f t="shared" si="348"/>
        <v>0</v>
      </c>
      <c r="AT179" s="81">
        <f t="shared" si="348"/>
        <v>0</v>
      </c>
      <c r="AU179" s="81">
        <f t="shared" si="348"/>
        <v>0</v>
      </c>
      <c r="AV179" s="81">
        <f t="shared" si="348"/>
        <v>0</v>
      </c>
      <c r="AW179" s="81">
        <f t="shared" si="348"/>
        <v>0</v>
      </c>
      <c r="AX179" s="81">
        <f t="shared" si="348"/>
        <v>0</v>
      </c>
      <c r="AY179" s="81">
        <f t="shared" si="348"/>
        <v>0</v>
      </c>
      <c r="AZ179" s="81">
        <f t="shared" si="348"/>
        <v>0</v>
      </c>
      <c r="BA179" s="82">
        <f t="shared" si="348"/>
        <v>0</v>
      </c>
      <c r="BB179" s="39" t="str">
        <f t="shared" si="24"/>
        <v>Liste 1</v>
      </c>
      <c r="BC179" s="39"/>
      <c r="BD179" s="39"/>
      <c r="BE179" s="39"/>
      <c r="BF179" s="39"/>
      <c r="BG179" s="39"/>
      <c r="BH179" s="39"/>
      <c r="BI179" s="39"/>
      <c r="BJ179" s="39"/>
      <c r="BK179" s="39"/>
      <c r="BL179" s="39"/>
      <c r="BM179" s="39"/>
    </row>
    <row r="180" spans="1:65" ht="16" x14ac:dyDescent="0.2">
      <c r="A180" s="77">
        <v>164</v>
      </c>
      <c r="B180" s="78">
        <f t="shared" ref="B180:R180" si="349">B$12/(AK179+1)</f>
        <v>0.24675324675324675</v>
      </c>
      <c r="C180" s="78">
        <f t="shared" si="349"/>
        <v>0.25</v>
      </c>
      <c r="D180" s="78">
        <f t="shared" si="349"/>
        <v>0</v>
      </c>
      <c r="E180" s="78">
        <f t="shared" si="349"/>
        <v>0</v>
      </c>
      <c r="F180" s="78">
        <f t="shared" si="349"/>
        <v>0</v>
      </c>
      <c r="G180" s="78">
        <f t="shared" si="349"/>
        <v>0</v>
      </c>
      <c r="H180" s="78">
        <f t="shared" si="349"/>
        <v>0</v>
      </c>
      <c r="I180" s="78">
        <f t="shared" si="349"/>
        <v>0</v>
      </c>
      <c r="J180" s="78">
        <f t="shared" si="349"/>
        <v>0</v>
      </c>
      <c r="K180" s="78">
        <f t="shared" si="349"/>
        <v>0</v>
      </c>
      <c r="L180" s="78">
        <f t="shared" si="349"/>
        <v>0</v>
      </c>
      <c r="M180" s="78">
        <f t="shared" si="349"/>
        <v>0</v>
      </c>
      <c r="N180" s="78">
        <f t="shared" si="349"/>
        <v>0</v>
      </c>
      <c r="O180" s="78">
        <f t="shared" si="349"/>
        <v>0</v>
      </c>
      <c r="P180" s="78">
        <f t="shared" si="349"/>
        <v>0</v>
      </c>
      <c r="Q180" s="78">
        <f t="shared" si="349"/>
        <v>0</v>
      </c>
      <c r="R180" s="79">
        <f t="shared" si="349"/>
        <v>0</v>
      </c>
      <c r="S180" s="79">
        <f t="shared" si="5"/>
        <v>0.25</v>
      </c>
      <c r="T180" s="80">
        <f t="shared" si="6"/>
        <v>0</v>
      </c>
      <c r="U180" s="80">
        <f t="shared" si="7"/>
        <v>1</v>
      </c>
      <c r="V180" s="80">
        <f t="shared" si="8"/>
        <v>0</v>
      </c>
      <c r="W180" s="80">
        <f t="shared" si="9"/>
        <v>0</v>
      </c>
      <c r="X180" s="80">
        <f t="shared" si="10"/>
        <v>0</v>
      </c>
      <c r="Y180" s="80">
        <f t="shared" si="11"/>
        <v>0</v>
      </c>
      <c r="Z180" s="80">
        <f t="shared" si="12"/>
        <v>0</v>
      </c>
      <c r="AA180" s="80">
        <f t="shared" si="13"/>
        <v>0</v>
      </c>
      <c r="AB180" s="80">
        <f t="shared" si="14"/>
        <v>0</v>
      </c>
      <c r="AC180" s="80">
        <f t="shared" si="15"/>
        <v>0</v>
      </c>
      <c r="AD180" s="80">
        <f t="shared" si="16"/>
        <v>0</v>
      </c>
      <c r="AE180" s="80">
        <f t="shared" si="17"/>
        <v>0</v>
      </c>
      <c r="AF180" s="80">
        <f t="shared" si="18"/>
        <v>0</v>
      </c>
      <c r="AG180" s="80">
        <f t="shared" si="19"/>
        <v>0</v>
      </c>
      <c r="AH180" s="80">
        <f t="shared" si="20"/>
        <v>0</v>
      </c>
      <c r="AI180" s="80">
        <f t="shared" si="21"/>
        <v>0</v>
      </c>
      <c r="AJ180" s="80">
        <f t="shared" si="22"/>
        <v>0</v>
      </c>
      <c r="AK180" s="80">
        <f t="shared" ref="AK180:BA180" si="350">T180+AK179</f>
        <v>76</v>
      </c>
      <c r="AL180" s="81">
        <f t="shared" si="350"/>
        <v>88</v>
      </c>
      <c r="AM180" s="81">
        <f t="shared" si="350"/>
        <v>0</v>
      </c>
      <c r="AN180" s="81">
        <f t="shared" si="350"/>
        <v>0</v>
      </c>
      <c r="AO180" s="81">
        <f t="shared" si="350"/>
        <v>0</v>
      </c>
      <c r="AP180" s="81">
        <f t="shared" si="350"/>
        <v>0</v>
      </c>
      <c r="AQ180" s="81">
        <f t="shared" si="350"/>
        <v>0</v>
      </c>
      <c r="AR180" s="81">
        <f t="shared" si="350"/>
        <v>0</v>
      </c>
      <c r="AS180" s="81">
        <f t="shared" si="350"/>
        <v>0</v>
      </c>
      <c r="AT180" s="81">
        <f t="shared" si="350"/>
        <v>0</v>
      </c>
      <c r="AU180" s="81">
        <f t="shared" si="350"/>
        <v>0</v>
      </c>
      <c r="AV180" s="81">
        <f t="shared" si="350"/>
        <v>0</v>
      </c>
      <c r="AW180" s="81">
        <f t="shared" si="350"/>
        <v>0</v>
      </c>
      <c r="AX180" s="81">
        <f t="shared" si="350"/>
        <v>0</v>
      </c>
      <c r="AY180" s="81">
        <f t="shared" si="350"/>
        <v>0</v>
      </c>
      <c r="AZ180" s="81">
        <f t="shared" si="350"/>
        <v>0</v>
      </c>
      <c r="BA180" s="82">
        <f t="shared" si="350"/>
        <v>0</v>
      </c>
      <c r="BB180" s="39" t="str">
        <f t="shared" si="24"/>
        <v>Liste 2</v>
      </c>
      <c r="BC180" s="39"/>
      <c r="BD180" s="39"/>
      <c r="BE180" s="39"/>
      <c r="BF180" s="39"/>
      <c r="BG180" s="39"/>
      <c r="BH180" s="39"/>
      <c r="BI180" s="39"/>
      <c r="BJ180" s="39"/>
      <c r="BK180" s="39"/>
      <c r="BL180" s="39"/>
      <c r="BM180" s="39"/>
    </row>
    <row r="181" spans="1:65" ht="16" x14ac:dyDescent="0.2">
      <c r="A181" s="77">
        <v>165</v>
      </c>
      <c r="B181" s="78">
        <f t="shared" ref="B181:R181" si="351">B$12/(AK180+1)</f>
        <v>0.24675324675324675</v>
      </c>
      <c r="C181" s="78">
        <f t="shared" si="351"/>
        <v>0.24719101123595505</v>
      </c>
      <c r="D181" s="78">
        <f t="shared" si="351"/>
        <v>0</v>
      </c>
      <c r="E181" s="78">
        <f t="shared" si="351"/>
        <v>0</v>
      </c>
      <c r="F181" s="78">
        <f t="shared" si="351"/>
        <v>0</v>
      </c>
      <c r="G181" s="78">
        <f t="shared" si="351"/>
        <v>0</v>
      </c>
      <c r="H181" s="78">
        <f t="shared" si="351"/>
        <v>0</v>
      </c>
      <c r="I181" s="78">
        <f t="shared" si="351"/>
        <v>0</v>
      </c>
      <c r="J181" s="78">
        <f t="shared" si="351"/>
        <v>0</v>
      </c>
      <c r="K181" s="78">
        <f t="shared" si="351"/>
        <v>0</v>
      </c>
      <c r="L181" s="78">
        <f t="shared" si="351"/>
        <v>0</v>
      </c>
      <c r="M181" s="78">
        <f t="shared" si="351"/>
        <v>0</v>
      </c>
      <c r="N181" s="78">
        <f t="shared" si="351"/>
        <v>0</v>
      </c>
      <c r="O181" s="78">
        <f t="shared" si="351"/>
        <v>0</v>
      </c>
      <c r="P181" s="78">
        <f t="shared" si="351"/>
        <v>0</v>
      </c>
      <c r="Q181" s="78">
        <f t="shared" si="351"/>
        <v>0</v>
      </c>
      <c r="R181" s="79">
        <f t="shared" si="351"/>
        <v>0</v>
      </c>
      <c r="S181" s="79">
        <f t="shared" si="5"/>
        <v>0.24719101123595505</v>
      </c>
      <c r="T181" s="80">
        <f t="shared" si="6"/>
        <v>0</v>
      </c>
      <c r="U181" s="80">
        <f t="shared" si="7"/>
        <v>1</v>
      </c>
      <c r="V181" s="80">
        <f t="shared" si="8"/>
        <v>0</v>
      </c>
      <c r="W181" s="80">
        <f t="shared" si="9"/>
        <v>0</v>
      </c>
      <c r="X181" s="80">
        <f t="shared" si="10"/>
        <v>0</v>
      </c>
      <c r="Y181" s="80">
        <f t="shared" si="11"/>
        <v>0</v>
      </c>
      <c r="Z181" s="80">
        <f t="shared" si="12"/>
        <v>0</v>
      </c>
      <c r="AA181" s="80">
        <f t="shared" si="13"/>
        <v>0</v>
      </c>
      <c r="AB181" s="80">
        <f t="shared" si="14"/>
        <v>0</v>
      </c>
      <c r="AC181" s="80">
        <f t="shared" si="15"/>
        <v>0</v>
      </c>
      <c r="AD181" s="80">
        <f t="shared" si="16"/>
        <v>0</v>
      </c>
      <c r="AE181" s="80">
        <f t="shared" si="17"/>
        <v>0</v>
      </c>
      <c r="AF181" s="80">
        <f t="shared" si="18"/>
        <v>0</v>
      </c>
      <c r="AG181" s="80">
        <f t="shared" si="19"/>
        <v>0</v>
      </c>
      <c r="AH181" s="80">
        <f t="shared" si="20"/>
        <v>0</v>
      </c>
      <c r="AI181" s="80">
        <f t="shared" si="21"/>
        <v>0</v>
      </c>
      <c r="AJ181" s="80">
        <f t="shared" si="22"/>
        <v>0</v>
      </c>
      <c r="AK181" s="80">
        <f t="shared" ref="AK181:BA181" si="352">T181+AK180</f>
        <v>76</v>
      </c>
      <c r="AL181" s="81">
        <f t="shared" si="352"/>
        <v>89</v>
      </c>
      <c r="AM181" s="81">
        <f t="shared" si="352"/>
        <v>0</v>
      </c>
      <c r="AN181" s="81">
        <f t="shared" si="352"/>
        <v>0</v>
      </c>
      <c r="AO181" s="81">
        <f t="shared" si="352"/>
        <v>0</v>
      </c>
      <c r="AP181" s="81">
        <f t="shared" si="352"/>
        <v>0</v>
      </c>
      <c r="AQ181" s="81">
        <f t="shared" si="352"/>
        <v>0</v>
      </c>
      <c r="AR181" s="81">
        <f t="shared" si="352"/>
        <v>0</v>
      </c>
      <c r="AS181" s="81">
        <f t="shared" si="352"/>
        <v>0</v>
      </c>
      <c r="AT181" s="81">
        <f t="shared" si="352"/>
        <v>0</v>
      </c>
      <c r="AU181" s="81">
        <f t="shared" si="352"/>
        <v>0</v>
      </c>
      <c r="AV181" s="81">
        <f t="shared" si="352"/>
        <v>0</v>
      </c>
      <c r="AW181" s="81">
        <f t="shared" si="352"/>
        <v>0</v>
      </c>
      <c r="AX181" s="81">
        <f t="shared" si="352"/>
        <v>0</v>
      </c>
      <c r="AY181" s="81">
        <f t="shared" si="352"/>
        <v>0</v>
      </c>
      <c r="AZ181" s="81">
        <f t="shared" si="352"/>
        <v>0</v>
      </c>
      <c r="BA181" s="82">
        <f t="shared" si="352"/>
        <v>0</v>
      </c>
      <c r="BB181" s="39" t="str">
        <f t="shared" si="24"/>
        <v>Liste 2</v>
      </c>
      <c r="BC181" s="39"/>
      <c r="BD181" s="39"/>
      <c r="BE181" s="39"/>
      <c r="BF181" s="39"/>
      <c r="BG181" s="39"/>
      <c r="BH181" s="39"/>
      <c r="BI181" s="39"/>
      <c r="BJ181" s="39"/>
      <c r="BK181" s="39"/>
      <c r="BL181" s="39"/>
      <c r="BM181" s="39"/>
    </row>
    <row r="182" spans="1:65" ht="16" x14ac:dyDescent="0.2">
      <c r="A182" s="35" t="s">
        <v>31</v>
      </c>
      <c r="B182" s="85"/>
      <c r="C182" s="86"/>
      <c r="D182" s="86"/>
      <c r="E182" s="86"/>
      <c r="F182" s="86"/>
      <c r="G182" s="86"/>
      <c r="H182" s="86"/>
      <c r="I182" s="86"/>
      <c r="J182" s="86"/>
      <c r="K182" s="86"/>
      <c r="L182" s="86"/>
      <c r="M182" s="86"/>
      <c r="N182" s="86"/>
      <c r="O182" s="86"/>
      <c r="P182" s="86"/>
      <c r="Q182" s="86"/>
      <c r="R182" s="86"/>
      <c r="S182" s="87"/>
      <c r="T182" s="87"/>
      <c r="U182" s="87"/>
      <c r="V182" s="87"/>
      <c r="W182" s="87"/>
      <c r="X182" s="87"/>
      <c r="Y182" s="87"/>
      <c r="Z182" s="87"/>
      <c r="AA182" s="87"/>
      <c r="AB182" s="87"/>
      <c r="AC182" s="87"/>
      <c r="AD182" s="87"/>
      <c r="AE182" s="87"/>
      <c r="AF182" s="87"/>
      <c r="AG182" s="87"/>
      <c r="AH182" s="87"/>
      <c r="AI182" s="87"/>
      <c r="AJ182" s="87"/>
      <c r="AK182" s="35">
        <f t="shared" ref="AK182:BA182" si="353">AK181</f>
        <v>76</v>
      </c>
      <c r="AL182" s="88">
        <f t="shared" si="353"/>
        <v>89</v>
      </c>
      <c r="AM182" s="88">
        <f t="shared" si="353"/>
        <v>0</v>
      </c>
      <c r="AN182" s="88">
        <f t="shared" si="353"/>
        <v>0</v>
      </c>
      <c r="AO182" s="88">
        <f t="shared" si="353"/>
        <v>0</v>
      </c>
      <c r="AP182" s="88">
        <f t="shared" si="353"/>
        <v>0</v>
      </c>
      <c r="AQ182" s="88">
        <f t="shared" si="353"/>
        <v>0</v>
      </c>
      <c r="AR182" s="88">
        <f t="shared" si="353"/>
        <v>0</v>
      </c>
      <c r="AS182" s="88">
        <f t="shared" si="353"/>
        <v>0</v>
      </c>
      <c r="AT182" s="88">
        <f t="shared" si="353"/>
        <v>0</v>
      </c>
      <c r="AU182" s="88">
        <f t="shared" si="353"/>
        <v>0</v>
      </c>
      <c r="AV182" s="88">
        <f t="shared" si="353"/>
        <v>0</v>
      </c>
      <c r="AW182" s="88">
        <f t="shared" si="353"/>
        <v>0</v>
      </c>
      <c r="AX182" s="88">
        <f t="shared" si="353"/>
        <v>0</v>
      </c>
      <c r="AY182" s="88">
        <f t="shared" si="353"/>
        <v>0</v>
      </c>
      <c r="AZ182" s="88">
        <f t="shared" si="353"/>
        <v>0</v>
      </c>
      <c r="BA182" s="89">
        <f t="shared" si="353"/>
        <v>0</v>
      </c>
      <c r="BB182" s="39"/>
      <c r="BC182" s="39"/>
      <c r="BD182" s="39"/>
      <c r="BE182" s="39"/>
      <c r="BF182" s="39"/>
      <c r="BG182" s="39"/>
      <c r="BH182" s="39"/>
      <c r="BI182" s="39"/>
      <c r="BJ182" s="39"/>
      <c r="BK182" s="39"/>
      <c r="BL182" s="39"/>
      <c r="BM182" s="39"/>
    </row>
    <row r="183" spans="1:65" x14ac:dyDescent="0.15">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94" t="str">
        <f t="shared" ref="AK183:BA183" si="354">IF(ISBLANK(B$10),"",B$10)</f>
        <v>Liste 1</v>
      </c>
      <c r="AL183" s="96" t="str">
        <f t="shared" si="354"/>
        <v>Liste 2</v>
      </c>
      <c r="AM183" s="96" t="str">
        <f t="shared" si="354"/>
        <v>Liste 3</v>
      </c>
      <c r="AN183" s="98" t="str">
        <f t="shared" si="354"/>
        <v>Liste 4</v>
      </c>
      <c r="AO183" s="96" t="str">
        <f t="shared" si="354"/>
        <v>Liste 5</v>
      </c>
      <c r="AP183" s="96" t="str">
        <f t="shared" si="354"/>
        <v>Liste 6</v>
      </c>
      <c r="AQ183" s="98" t="str">
        <f t="shared" si="354"/>
        <v>Liste 7</v>
      </c>
      <c r="AR183" s="96" t="str">
        <f t="shared" si="354"/>
        <v>Liste 8</v>
      </c>
      <c r="AS183" s="96" t="str">
        <f t="shared" si="354"/>
        <v>Liste 9</v>
      </c>
      <c r="AT183" s="98" t="str">
        <f t="shared" si="354"/>
        <v>Liste 10</v>
      </c>
      <c r="AU183" s="96" t="str">
        <f t="shared" si="354"/>
        <v>Liste 11</v>
      </c>
      <c r="AV183" s="96" t="str">
        <f t="shared" si="354"/>
        <v>Liste 12</v>
      </c>
      <c r="AW183" s="96" t="str">
        <f t="shared" si="354"/>
        <v>Liste 13</v>
      </c>
      <c r="AX183" s="96" t="str">
        <f t="shared" si="354"/>
        <v>Liste 14</v>
      </c>
      <c r="AY183" s="96" t="str">
        <f t="shared" si="354"/>
        <v>Liste 15</v>
      </c>
      <c r="AZ183" s="96" t="str">
        <f t="shared" si="354"/>
        <v>Liste 16</v>
      </c>
      <c r="BA183" s="100" t="str">
        <f t="shared" si="354"/>
        <v>Liste 17</v>
      </c>
      <c r="BB183" s="39"/>
      <c r="BC183" s="39"/>
      <c r="BD183" s="39"/>
      <c r="BE183" s="39"/>
      <c r="BF183" s="39"/>
      <c r="BG183" s="39"/>
      <c r="BH183" s="39"/>
      <c r="BI183" s="39"/>
      <c r="BJ183" s="39"/>
      <c r="BK183" s="39"/>
      <c r="BL183" s="39"/>
      <c r="BM183" s="39"/>
    </row>
    <row r="184" spans="1:65" x14ac:dyDescent="0.15">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95"/>
      <c r="AL184" s="97"/>
      <c r="AM184" s="97"/>
      <c r="AN184" s="99"/>
      <c r="AO184" s="97"/>
      <c r="AP184" s="97"/>
      <c r="AQ184" s="99"/>
      <c r="AR184" s="97"/>
      <c r="AS184" s="97"/>
      <c r="AT184" s="99"/>
      <c r="AU184" s="97"/>
      <c r="AV184" s="97"/>
      <c r="AW184" s="97"/>
      <c r="AX184" s="97"/>
      <c r="AY184" s="97"/>
      <c r="AZ184" s="97"/>
      <c r="BA184" s="101"/>
      <c r="BB184" s="39"/>
      <c r="BC184" s="39"/>
      <c r="BD184" s="39"/>
      <c r="BE184" s="39"/>
      <c r="BF184" s="39"/>
      <c r="BG184" s="39"/>
      <c r="BH184" s="39"/>
      <c r="BI184" s="39"/>
      <c r="BJ184" s="39"/>
      <c r="BK184" s="39"/>
      <c r="BL184" s="39"/>
      <c r="BM184" s="39"/>
    </row>
    <row r="185" spans="1:65" x14ac:dyDescent="0.1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row>
    <row r="186" spans="1:65" x14ac:dyDescent="0.15">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c r="AX186" s="39"/>
      <c r="AY186" s="39"/>
      <c r="AZ186" s="39"/>
      <c r="BA186" s="39"/>
      <c r="BB186" s="39"/>
      <c r="BC186" s="39"/>
      <c r="BD186" s="39"/>
      <c r="BE186" s="39"/>
      <c r="BF186" s="39"/>
      <c r="BG186" s="39"/>
      <c r="BH186" s="39"/>
      <c r="BI186" s="39"/>
      <c r="BJ186" s="39"/>
      <c r="BK186" s="39"/>
      <c r="BL186" s="39"/>
      <c r="BM186" s="39"/>
    </row>
    <row r="187" spans="1:65" x14ac:dyDescent="0.15">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row>
    <row r="188" spans="1:65" x14ac:dyDescent="0.15">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c r="AX188" s="39"/>
      <c r="AY188" s="39"/>
      <c r="AZ188" s="39"/>
      <c r="BA188" s="39"/>
      <c r="BB188" s="39"/>
      <c r="BC188" s="39"/>
      <c r="BD188" s="39"/>
      <c r="BE188" s="39"/>
      <c r="BF188" s="39"/>
      <c r="BG188" s="39"/>
      <c r="BH188" s="39"/>
      <c r="BI188" s="39"/>
      <c r="BJ188" s="39"/>
      <c r="BK188" s="39"/>
      <c r="BL188" s="39"/>
      <c r="BM188" s="39"/>
    </row>
    <row r="189" spans="1:65" x14ac:dyDescent="0.15">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row>
    <row r="190" spans="1:65" x14ac:dyDescent="0.15">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c r="AX190" s="39"/>
      <c r="AY190" s="39"/>
      <c r="AZ190" s="39"/>
      <c r="BA190" s="39"/>
      <c r="BB190" s="39"/>
      <c r="BC190" s="39"/>
      <c r="BD190" s="39"/>
      <c r="BE190" s="39"/>
      <c r="BF190" s="39"/>
      <c r="BG190" s="39"/>
      <c r="BH190" s="39"/>
      <c r="BI190" s="39"/>
      <c r="BJ190" s="39"/>
      <c r="BK190" s="39"/>
      <c r="BL190" s="39"/>
      <c r="BM190" s="39"/>
    </row>
    <row r="191" spans="1:65" x14ac:dyDescent="0.15">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39"/>
      <c r="AW191" s="39"/>
      <c r="AX191" s="39"/>
      <c r="AY191" s="39"/>
      <c r="AZ191" s="39"/>
      <c r="BA191" s="39"/>
      <c r="BB191" s="39"/>
      <c r="BC191" s="39"/>
      <c r="BD191" s="39"/>
      <c r="BE191" s="39"/>
      <c r="BF191" s="39"/>
      <c r="BG191" s="39"/>
      <c r="BH191" s="39"/>
      <c r="BI191" s="39"/>
      <c r="BJ191" s="39"/>
      <c r="BK191" s="39"/>
      <c r="BL191" s="39"/>
      <c r="BM191" s="39"/>
    </row>
    <row r="192" spans="1:65" x14ac:dyDescent="0.15">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39"/>
      <c r="AW192" s="39"/>
      <c r="AX192" s="39"/>
      <c r="AY192" s="39"/>
      <c r="AZ192" s="39"/>
      <c r="BA192" s="39"/>
      <c r="BB192" s="39"/>
      <c r="BC192" s="39"/>
      <c r="BD192" s="39"/>
      <c r="BE192" s="39"/>
      <c r="BF192" s="39"/>
      <c r="BG192" s="39"/>
      <c r="BH192" s="39"/>
      <c r="BI192" s="39"/>
      <c r="BJ192" s="39"/>
      <c r="BK192" s="39"/>
      <c r="BL192" s="39"/>
      <c r="BM192" s="39"/>
    </row>
    <row r="193" spans="1:65" x14ac:dyDescent="0.15">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c r="AR193" s="39"/>
      <c r="AS193" s="39"/>
      <c r="AT193" s="39"/>
      <c r="AU193" s="39"/>
      <c r="AV193" s="39"/>
      <c r="AW193" s="39"/>
      <c r="AX193" s="39"/>
      <c r="AY193" s="39"/>
      <c r="AZ193" s="39"/>
      <c r="BA193" s="39"/>
      <c r="BB193" s="39"/>
      <c r="BC193" s="39"/>
      <c r="BD193" s="39"/>
      <c r="BE193" s="39"/>
      <c r="BF193" s="39"/>
      <c r="BG193" s="39"/>
      <c r="BH193" s="39"/>
      <c r="BI193" s="39"/>
      <c r="BJ193" s="39"/>
      <c r="BK193" s="39"/>
      <c r="BL193" s="39"/>
      <c r="BM193" s="39"/>
    </row>
    <row r="194" spans="1:65" x14ac:dyDescent="0.15">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9"/>
      <c r="AR194" s="39"/>
      <c r="AS194" s="39"/>
      <c r="AT194" s="39"/>
      <c r="AU194" s="39"/>
      <c r="AV194" s="39"/>
      <c r="AW194" s="39"/>
      <c r="AX194" s="39"/>
      <c r="AY194" s="39"/>
      <c r="AZ194" s="39"/>
      <c r="BA194" s="39"/>
      <c r="BB194" s="39"/>
      <c r="BC194" s="39"/>
      <c r="BD194" s="39"/>
      <c r="BE194" s="39"/>
      <c r="BF194" s="39"/>
      <c r="BG194" s="39"/>
      <c r="BH194" s="39"/>
      <c r="BI194" s="39"/>
      <c r="BJ194" s="39"/>
      <c r="BK194" s="39"/>
      <c r="BL194" s="39"/>
      <c r="BM194" s="39"/>
    </row>
    <row r="195" spans="1:65" x14ac:dyDescent="0.1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39"/>
      <c r="AR195" s="39"/>
      <c r="AS195" s="39"/>
      <c r="AT195" s="39"/>
      <c r="AU195" s="39"/>
      <c r="AV195" s="39"/>
      <c r="AW195" s="39"/>
      <c r="AX195" s="39"/>
      <c r="AY195" s="39"/>
      <c r="AZ195" s="39"/>
      <c r="BA195" s="39"/>
      <c r="BB195" s="39"/>
      <c r="BC195" s="39"/>
      <c r="BD195" s="39"/>
      <c r="BE195" s="39"/>
      <c r="BF195" s="39"/>
      <c r="BG195" s="39"/>
      <c r="BH195" s="39"/>
      <c r="BI195" s="39"/>
      <c r="BJ195" s="39"/>
      <c r="BK195" s="39"/>
      <c r="BL195" s="39"/>
      <c r="BM195" s="39"/>
    </row>
    <row r="196" spans="1:65" x14ac:dyDescent="0.15">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39"/>
      <c r="AR196" s="39"/>
      <c r="AS196" s="39"/>
      <c r="AT196" s="39"/>
      <c r="AU196" s="39"/>
      <c r="AV196" s="39"/>
      <c r="AW196" s="39"/>
      <c r="AX196" s="39"/>
      <c r="AY196" s="39"/>
      <c r="AZ196" s="39"/>
      <c r="BA196" s="39"/>
      <c r="BB196" s="39"/>
      <c r="BC196" s="39"/>
      <c r="BD196" s="39"/>
      <c r="BE196" s="39"/>
      <c r="BF196" s="39"/>
      <c r="BG196" s="39"/>
      <c r="BH196" s="39"/>
      <c r="BI196" s="39"/>
      <c r="BJ196" s="39"/>
      <c r="BK196" s="39"/>
      <c r="BL196" s="39"/>
      <c r="BM196" s="39"/>
    </row>
    <row r="197" spans="1:65" x14ac:dyDescent="0.15">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c r="AX197" s="39"/>
      <c r="AY197" s="39"/>
      <c r="AZ197" s="39"/>
      <c r="BA197" s="39"/>
      <c r="BB197" s="39"/>
      <c r="BC197" s="39"/>
      <c r="BD197" s="39"/>
      <c r="BE197" s="39"/>
      <c r="BF197" s="39"/>
      <c r="BG197" s="39"/>
      <c r="BH197" s="39"/>
      <c r="BI197" s="39"/>
      <c r="BJ197" s="39"/>
      <c r="BK197" s="39"/>
      <c r="BL197" s="39"/>
      <c r="BM197" s="39"/>
    </row>
    <row r="198" spans="1:65" x14ac:dyDescent="0.15">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39"/>
      <c r="AW198" s="39"/>
      <c r="AX198" s="39"/>
      <c r="AY198" s="39"/>
      <c r="AZ198" s="39"/>
      <c r="BA198" s="39"/>
      <c r="BB198" s="39"/>
      <c r="BC198" s="39"/>
      <c r="BD198" s="39"/>
      <c r="BE198" s="39"/>
      <c r="BF198" s="39"/>
      <c r="BG198" s="39"/>
      <c r="BH198" s="39"/>
      <c r="BI198" s="39"/>
      <c r="BJ198" s="39"/>
      <c r="BK198" s="39"/>
      <c r="BL198" s="39"/>
      <c r="BM198" s="39"/>
    </row>
    <row r="199" spans="1:65" x14ac:dyDescent="0.15">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c r="AX199" s="39"/>
      <c r="AY199" s="39"/>
      <c r="AZ199" s="39"/>
      <c r="BA199" s="39"/>
      <c r="BB199" s="39"/>
      <c r="BC199" s="39"/>
      <c r="BD199" s="39"/>
      <c r="BE199" s="39"/>
      <c r="BF199" s="39"/>
      <c r="BG199" s="39"/>
      <c r="BH199" s="39"/>
      <c r="BI199" s="39"/>
      <c r="BJ199" s="39"/>
      <c r="BK199" s="39"/>
      <c r="BL199" s="39"/>
      <c r="BM199" s="39"/>
    </row>
    <row r="200" spans="1:65" x14ac:dyDescent="0.15">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c r="AR200" s="39"/>
      <c r="AS200" s="39"/>
      <c r="AT200" s="39"/>
      <c r="AU200" s="39"/>
      <c r="AV200" s="39"/>
      <c r="AW200" s="39"/>
      <c r="AX200" s="39"/>
      <c r="AY200" s="39"/>
      <c r="AZ200" s="39"/>
      <c r="BA200" s="39"/>
      <c r="BB200" s="39"/>
      <c r="BC200" s="39"/>
      <c r="BD200" s="39"/>
      <c r="BE200" s="39"/>
      <c r="BF200" s="39"/>
      <c r="BG200" s="39"/>
      <c r="BH200" s="39"/>
      <c r="BI200" s="39"/>
      <c r="BJ200" s="39"/>
      <c r="BK200" s="39"/>
      <c r="BL200" s="39"/>
      <c r="BM200" s="39"/>
    </row>
    <row r="201" spans="1:65" x14ac:dyDescent="0.15">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39"/>
      <c r="AW201" s="39"/>
      <c r="AX201" s="39"/>
      <c r="AY201" s="39"/>
      <c r="AZ201" s="39"/>
      <c r="BA201" s="39"/>
      <c r="BB201" s="39"/>
      <c r="BC201" s="39"/>
      <c r="BD201" s="39"/>
      <c r="BE201" s="39"/>
      <c r="BF201" s="39"/>
      <c r="BG201" s="39"/>
      <c r="BH201" s="39"/>
      <c r="BI201" s="39"/>
      <c r="BJ201" s="39"/>
      <c r="BK201" s="39"/>
      <c r="BL201" s="39"/>
      <c r="BM201" s="39"/>
    </row>
    <row r="202" spans="1:65" x14ac:dyDescent="0.15">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39"/>
      <c r="AR202" s="39"/>
      <c r="AS202" s="39"/>
      <c r="AT202" s="39"/>
      <c r="AU202" s="39"/>
      <c r="AV202" s="39"/>
      <c r="AW202" s="39"/>
      <c r="AX202" s="39"/>
      <c r="AY202" s="39"/>
      <c r="AZ202" s="39"/>
      <c r="BA202" s="39"/>
      <c r="BB202" s="39"/>
      <c r="BC202" s="39"/>
      <c r="BD202" s="39"/>
      <c r="BE202" s="39"/>
      <c r="BF202" s="39"/>
      <c r="BG202" s="39"/>
      <c r="BH202" s="39"/>
      <c r="BI202" s="39"/>
      <c r="BJ202" s="39"/>
      <c r="BK202" s="39"/>
      <c r="BL202" s="39"/>
      <c r="BM202" s="39"/>
    </row>
    <row r="203" spans="1:65" x14ac:dyDescent="0.15">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9"/>
      <c r="AR203" s="39"/>
      <c r="AS203" s="39"/>
      <c r="AT203" s="39"/>
      <c r="AU203" s="39"/>
      <c r="AV203" s="39"/>
      <c r="AW203" s="39"/>
      <c r="AX203" s="39"/>
      <c r="AY203" s="39"/>
      <c r="AZ203" s="39"/>
      <c r="BA203" s="39"/>
      <c r="BB203" s="39"/>
      <c r="BC203" s="39"/>
      <c r="BD203" s="39"/>
      <c r="BE203" s="39"/>
      <c r="BF203" s="39"/>
      <c r="BG203" s="39"/>
      <c r="BH203" s="39"/>
      <c r="BI203" s="39"/>
      <c r="BJ203" s="39"/>
      <c r="BK203" s="39"/>
      <c r="BL203" s="39"/>
      <c r="BM203" s="39"/>
    </row>
    <row r="204" spans="1:65" x14ac:dyDescent="0.15">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39"/>
      <c r="AR204" s="39"/>
      <c r="AS204" s="39"/>
      <c r="AT204" s="39"/>
      <c r="AU204" s="39"/>
      <c r="AV204" s="39"/>
      <c r="AW204" s="39"/>
      <c r="AX204" s="39"/>
      <c r="AY204" s="39"/>
      <c r="AZ204" s="39"/>
      <c r="BA204" s="39"/>
      <c r="BB204" s="39"/>
      <c r="BC204" s="39"/>
      <c r="BD204" s="39"/>
      <c r="BE204" s="39"/>
      <c r="BF204" s="39"/>
      <c r="BG204" s="39"/>
      <c r="BH204" s="39"/>
      <c r="BI204" s="39"/>
      <c r="BJ204" s="39"/>
      <c r="BK204" s="39"/>
      <c r="BL204" s="39"/>
      <c r="BM204" s="39"/>
    </row>
    <row r="205" spans="1:65" x14ac:dyDescent="0.1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row>
    <row r="206" spans="1:65" x14ac:dyDescent="0.15">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39"/>
      <c r="AR206" s="39"/>
      <c r="AS206" s="39"/>
      <c r="AT206" s="39"/>
      <c r="AU206" s="39"/>
      <c r="AV206" s="39"/>
      <c r="AW206" s="39"/>
      <c r="AX206" s="39"/>
      <c r="AY206" s="39"/>
      <c r="AZ206" s="39"/>
      <c r="BA206" s="39"/>
      <c r="BB206" s="39"/>
      <c r="BC206" s="39"/>
      <c r="BD206" s="39"/>
      <c r="BE206" s="39"/>
      <c r="BF206" s="39"/>
      <c r="BG206" s="39"/>
      <c r="BH206" s="39"/>
      <c r="BI206" s="39"/>
      <c r="BJ206" s="39"/>
      <c r="BK206" s="39"/>
      <c r="BL206" s="39"/>
      <c r="BM206" s="39"/>
    </row>
    <row r="207" spans="1:65" x14ac:dyDescent="0.15">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row>
    <row r="208" spans="1:65" x14ac:dyDescent="0.15">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39"/>
      <c r="AR208" s="39"/>
      <c r="AS208" s="39"/>
      <c r="AT208" s="39"/>
      <c r="AU208" s="39"/>
      <c r="AV208" s="39"/>
      <c r="AW208" s="39"/>
      <c r="AX208" s="39"/>
      <c r="AY208" s="39"/>
      <c r="AZ208" s="39"/>
      <c r="BA208" s="39"/>
      <c r="BB208" s="39"/>
      <c r="BC208" s="39"/>
      <c r="BD208" s="39"/>
      <c r="BE208" s="39"/>
      <c r="BF208" s="39"/>
      <c r="BG208" s="39"/>
      <c r="BH208" s="39"/>
      <c r="BI208" s="39"/>
      <c r="BJ208" s="39"/>
      <c r="BK208" s="39"/>
      <c r="BL208" s="39"/>
      <c r="BM208" s="39"/>
    </row>
    <row r="209" spans="1:65" x14ac:dyDescent="0.15">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row>
    <row r="210" spans="1:65" x14ac:dyDescent="0.15">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39"/>
      <c r="AR210" s="39"/>
      <c r="AS210" s="39"/>
      <c r="AT210" s="39"/>
      <c r="AU210" s="39"/>
      <c r="AV210" s="39"/>
      <c r="AW210" s="39"/>
      <c r="AX210" s="39"/>
      <c r="AY210" s="39"/>
      <c r="AZ210" s="39"/>
      <c r="BA210" s="39"/>
      <c r="BB210" s="39"/>
      <c r="BC210" s="39"/>
      <c r="BD210" s="39"/>
      <c r="BE210" s="39"/>
      <c r="BF210" s="39"/>
      <c r="BG210" s="39"/>
      <c r="BH210" s="39"/>
      <c r="BI210" s="39"/>
      <c r="BJ210" s="39"/>
      <c r="BK210" s="39"/>
      <c r="BL210" s="39"/>
      <c r="BM210" s="39"/>
    </row>
    <row r="211" spans="1:65" x14ac:dyDescent="0.15">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row>
    <row r="212" spans="1:65" x14ac:dyDescent="0.15">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39"/>
      <c r="AR212" s="39"/>
      <c r="AS212" s="39"/>
      <c r="AT212" s="39"/>
      <c r="AU212" s="39"/>
      <c r="AV212" s="39"/>
      <c r="AW212" s="39"/>
      <c r="AX212" s="39"/>
      <c r="AY212" s="39"/>
      <c r="AZ212" s="39"/>
      <c r="BA212" s="39"/>
      <c r="BB212" s="39"/>
      <c r="BC212" s="39"/>
      <c r="BD212" s="39"/>
      <c r="BE212" s="39"/>
      <c r="BF212" s="39"/>
      <c r="BG212" s="39"/>
      <c r="BH212" s="39"/>
      <c r="BI212" s="39"/>
      <c r="BJ212" s="39"/>
      <c r="BK212" s="39"/>
      <c r="BL212" s="39"/>
      <c r="BM212" s="39"/>
    </row>
    <row r="213" spans="1:65" x14ac:dyDescent="0.15">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39"/>
      <c r="AR213" s="39"/>
      <c r="AS213" s="39"/>
      <c r="AT213" s="39"/>
      <c r="AU213" s="39"/>
      <c r="AV213" s="39"/>
      <c r="AW213" s="39"/>
      <c r="AX213" s="39"/>
      <c r="AY213" s="39"/>
      <c r="AZ213" s="39"/>
      <c r="BA213" s="39"/>
      <c r="BB213" s="39"/>
      <c r="BC213" s="39"/>
      <c r="BD213" s="39"/>
      <c r="BE213" s="39"/>
      <c r="BF213" s="39"/>
      <c r="BG213" s="39"/>
      <c r="BH213" s="39"/>
      <c r="BI213" s="39"/>
      <c r="BJ213" s="39"/>
      <c r="BK213" s="39"/>
      <c r="BL213" s="39"/>
      <c r="BM213" s="39"/>
    </row>
    <row r="214" spans="1:65" x14ac:dyDescent="0.15">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9"/>
      <c r="AR214" s="39"/>
      <c r="AS214" s="39"/>
      <c r="AT214" s="39"/>
      <c r="AU214" s="39"/>
      <c r="AV214" s="39"/>
      <c r="AW214" s="39"/>
      <c r="AX214" s="39"/>
      <c r="AY214" s="39"/>
      <c r="AZ214" s="39"/>
      <c r="BA214" s="39"/>
      <c r="BB214" s="39"/>
      <c r="BC214" s="39"/>
      <c r="BD214" s="39"/>
      <c r="BE214" s="39"/>
      <c r="BF214" s="39"/>
      <c r="BG214" s="39"/>
      <c r="BH214" s="39"/>
      <c r="BI214" s="39"/>
      <c r="BJ214" s="39"/>
      <c r="BK214" s="39"/>
      <c r="BL214" s="39"/>
      <c r="BM214" s="39"/>
    </row>
    <row r="215" spans="1:65" x14ac:dyDescent="0.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row>
    <row r="216" spans="1:65" x14ac:dyDescent="0.15">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9"/>
      <c r="AR216" s="39"/>
      <c r="AS216" s="39"/>
      <c r="AT216" s="39"/>
      <c r="AU216" s="39"/>
      <c r="AV216" s="39"/>
      <c r="AW216" s="39"/>
      <c r="AX216" s="39"/>
      <c r="AY216" s="39"/>
      <c r="AZ216" s="39"/>
      <c r="BA216" s="39"/>
      <c r="BB216" s="39"/>
      <c r="BC216" s="39"/>
      <c r="BD216" s="39"/>
      <c r="BE216" s="39"/>
      <c r="BF216" s="39"/>
      <c r="BG216" s="39"/>
      <c r="BH216" s="39"/>
      <c r="BI216" s="39"/>
      <c r="BJ216" s="39"/>
      <c r="BK216" s="39"/>
      <c r="BL216" s="39"/>
      <c r="BM216" s="39"/>
    </row>
    <row r="217" spans="1:65" x14ac:dyDescent="0.15">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9"/>
      <c r="AR217" s="39"/>
      <c r="AS217" s="39"/>
      <c r="AT217" s="39"/>
      <c r="AU217" s="39"/>
      <c r="AV217" s="39"/>
      <c r="AW217" s="39"/>
      <c r="AX217" s="39"/>
      <c r="AY217" s="39"/>
      <c r="AZ217" s="39"/>
      <c r="BA217" s="39"/>
      <c r="BB217" s="39"/>
      <c r="BC217" s="39"/>
      <c r="BD217" s="39"/>
      <c r="BE217" s="39"/>
      <c r="BF217" s="39"/>
      <c r="BG217" s="39"/>
      <c r="BH217" s="39"/>
      <c r="BI217" s="39"/>
      <c r="BJ217" s="39"/>
      <c r="BK217" s="39"/>
      <c r="BL217" s="39"/>
      <c r="BM217" s="39"/>
    </row>
    <row r="218" spans="1:65" x14ac:dyDescent="0.15">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39"/>
      <c r="AR218" s="39"/>
      <c r="AS218" s="39"/>
      <c r="AT218" s="39"/>
      <c r="AU218" s="39"/>
      <c r="AV218" s="39"/>
      <c r="AW218" s="39"/>
      <c r="AX218" s="39"/>
      <c r="AY218" s="39"/>
      <c r="AZ218" s="39"/>
      <c r="BA218" s="39"/>
      <c r="BB218" s="39"/>
      <c r="BC218" s="39"/>
      <c r="BD218" s="39"/>
      <c r="BE218" s="39"/>
      <c r="BF218" s="39"/>
      <c r="BG218" s="39"/>
      <c r="BH218" s="39"/>
      <c r="BI218" s="39"/>
      <c r="BJ218" s="39"/>
      <c r="BK218" s="39"/>
      <c r="BL218" s="39"/>
      <c r="BM218" s="39"/>
    </row>
    <row r="219" spans="1:65" x14ac:dyDescent="0.15">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9"/>
      <c r="AR219" s="39"/>
      <c r="AS219" s="39"/>
      <c r="AT219" s="39"/>
      <c r="AU219" s="39"/>
      <c r="AV219" s="39"/>
      <c r="AW219" s="39"/>
      <c r="AX219" s="39"/>
      <c r="AY219" s="39"/>
      <c r="AZ219" s="39"/>
      <c r="BA219" s="39"/>
      <c r="BB219" s="39"/>
      <c r="BC219" s="39"/>
      <c r="BD219" s="39"/>
      <c r="BE219" s="39"/>
      <c r="BF219" s="39"/>
      <c r="BG219" s="39"/>
      <c r="BH219" s="39"/>
      <c r="BI219" s="39"/>
      <c r="BJ219" s="39"/>
      <c r="BK219" s="39"/>
      <c r="BL219" s="39"/>
      <c r="BM219" s="39"/>
    </row>
    <row r="220" spans="1:65" x14ac:dyDescent="0.15">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c r="AP220" s="39"/>
      <c r="AQ220" s="39"/>
      <c r="AR220" s="39"/>
      <c r="AS220" s="39"/>
      <c r="AT220" s="39"/>
      <c r="AU220" s="39"/>
      <c r="AV220" s="39"/>
      <c r="AW220" s="39"/>
      <c r="AX220" s="39"/>
      <c r="AY220" s="39"/>
      <c r="AZ220" s="39"/>
      <c r="BA220" s="39"/>
      <c r="BB220" s="39"/>
      <c r="BC220" s="39"/>
      <c r="BD220" s="39"/>
      <c r="BE220" s="39"/>
      <c r="BF220" s="39"/>
      <c r="BG220" s="39"/>
      <c r="BH220" s="39"/>
      <c r="BI220" s="39"/>
      <c r="BJ220" s="39"/>
      <c r="BK220" s="39"/>
      <c r="BL220" s="39"/>
      <c r="BM220" s="39"/>
    </row>
    <row r="221" spans="1:65" x14ac:dyDescent="0.15">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row>
    <row r="222" spans="1:65" x14ac:dyDescent="0.15">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39"/>
      <c r="AR222" s="39"/>
      <c r="AS222" s="39"/>
      <c r="AT222" s="39"/>
      <c r="AU222" s="39"/>
      <c r="AV222" s="39"/>
      <c r="AW222" s="39"/>
      <c r="AX222" s="39"/>
      <c r="AY222" s="39"/>
      <c r="AZ222" s="39"/>
      <c r="BA222" s="39"/>
      <c r="BB222" s="39"/>
      <c r="BC222" s="39"/>
      <c r="BD222" s="39"/>
      <c r="BE222" s="39"/>
      <c r="BF222" s="39"/>
      <c r="BG222" s="39"/>
      <c r="BH222" s="39"/>
      <c r="BI222" s="39"/>
      <c r="BJ222" s="39"/>
      <c r="BK222" s="39"/>
      <c r="BL222" s="39"/>
      <c r="BM222" s="39"/>
    </row>
    <row r="223" spans="1:65" x14ac:dyDescent="0.15">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39"/>
      <c r="AR223" s="39"/>
      <c r="AS223" s="39"/>
      <c r="AT223" s="39"/>
      <c r="AU223" s="39"/>
      <c r="AV223" s="39"/>
      <c r="AW223" s="39"/>
      <c r="AX223" s="39"/>
      <c r="AY223" s="39"/>
      <c r="AZ223" s="39"/>
      <c r="BA223" s="39"/>
      <c r="BB223" s="39"/>
      <c r="BC223" s="39"/>
      <c r="BD223" s="39"/>
      <c r="BE223" s="39"/>
      <c r="BF223" s="39"/>
      <c r="BG223" s="39"/>
      <c r="BH223" s="39"/>
      <c r="BI223" s="39"/>
      <c r="BJ223" s="39"/>
      <c r="BK223" s="39"/>
      <c r="BL223" s="39"/>
      <c r="BM223" s="39"/>
    </row>
    <row r="224" spans="1:65" x14ac:dyDescent="0.15">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39"/>
      <c r="AR224" s="39"/>
      <c r="AS224" s="39"/>
      <c r="AT224" s="39"/>
      <c r="AU224" s="39"/>
      <c r="AV224" s="39"/>
      <c r="AW224" s="39"/>
      <c r="AX224" s="39"/>
      <c r="AY224" s="39"/>
      <c r="AZ224" s="39"/>
      <c r="BA224" s="39"/>
      <c r="BB224" s="39"/>
      <c r="BC224" s="39"/>
      <c r="BD224" s="39"/>
      <c r="BE224" s="39"/>
      <c r="BF224" s="39"/>
      <c r="BG224" s="39"/>
      <c r="BH224" s="39"/>
      <c r="BI224" s="39"/>
      <c r="BJ224" s="39"/>
      <c r="BK224" s="39"/>
      <c r="BL224" s="39"/>
      <c r="BM224" s="39"/>
    </row>
    <row r="225" spans="1:65" x14ac:dyDescent="0.1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row>
    <row r="226" spans="1:65" x14ac:dyDescent="0.15">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c r="AP226" s="39"/>
      <c r="AQ226" s="39"/>
      <c r="AR226" s="39"/>
      <c r="AS226" s="39"/>
      <c r="AT226" s="39"/>
      <c r="AU226" s="39"/>
      <c r="AV226" s="39"/>
      <c r="AW226" s="39"/>
      <c r="AX226" s="39"/>
      <c r="AY226" s="39"/>
      <c r="AZ226" s="39"/>
      <c r="BA226" s="39"/>
      <c r="BB226" s="39"/>
      <c r="BC226" s="39"/>
      <c r="BD226" s="39"/>
      <c r="BE226" s="39"/>
      <c r="BF226" s="39"/>
      <c r="BG226" s="39"/>
      <c r="BH226" s="39"/>
      <c r="BI226" s="39"/>
      <c r="BJ226" s="39"/>
      <c r="BK226" s="39"/>
      <c r="BL226" s="39"/>
      <c r="BM226" s="39"/>
    </row>
    <row r="227" spans="1:65" x14ac:dyDescent="0.15">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39"/>
      <c r="AR227" s="39"/>
      <c r="AS227" s="39"/>
      <c r="AT227" s="39"/>
      <c r="AU227" s="39"/>
      <c r="AV227" s="39"/>
      <c r="AW227" s="39"/>
      <c r="AX227" s="39"/>
      <c r="AY227" s="39"/>
      <c r="AZ227" s="39"/>
      <c r="BA227" s="39"/>
      <c r="BB227" s="39"/>
      <c r="BC227" s="39"/>
      <c r="BD227" s="39"/>
      <c r="BE227" s="39"/>
      <c r="BF227" s="39"/>
      <c r="BG227" s="39"/>
      <c r="BH227" s="39"/>
      <c r="BI227" s="39"/>
      <c r="BJ227" s="39"/>
      <c r="BK227" s="39"/>
      <c r="BL227" s="39"/>
      <c r="BM227" s="39"/>
    </row>
    <row r="228" spans="1:65" x14ac:dyDescent="0.15">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39"/>
      <c r="AR228" s="39"/>
      <c r="AS228" s="39"/>
      <c r="AT228" s="39"/>
      <c r="AU228" s="39"/>
      <c r="AV228" s="39"/>
      <c r="AW228" s="39"/>
      <c r="AX228" s="39"/>
      <c r="AY228" s="39"/>
      <c r="AZ228" s="39"/>
      <c r="BA228" s="39"/>
      <c r="BB228" s="39"/>
      <c r="BC228" s="39"/>
      <c r="BD228" s="39"/>
      <c r="BE228" s="39"/>
      <c r="BF228" s="39"/>
      <c r="BG228" s="39"/>
      <c r="BH228" s="39"/>
      <c r="BI228" s="39"/>
      <c r="BJ228" s="39"/>
      <c r="BK228" s="39"/>
      <c r="BL228" s="39"/>
      <c r="BM228" s="39"/>
    </row>
    <row r="229" spans="1:65" x14ac:dyDescent="0.15">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9"/>
      <c r="AR229" s="39"/>
      <c r="AS229" s="39"/>
      <c r="AT229" s="39"/>
      <c r="AU229" s="39"/>
      <c r="AV229" s="39"/>
      <c r="AW229" s="39"/>
      <c r="AX229" s="39"/>
      <c r="AY229" s="39"/>
      <c r="AZ229" s="39"/>
      <c r="BA229" s="39"/>
      <c r="BB229" s="39"/>
      <c r="BC229" s="39"/>
      <c r="BD229" s="39"/>
      <c r="BE229" s="39"/>
      <c r="BF229" s="39"/>
      <c r="BG229" s="39"/>
      <c r="BH229" s="39"/>
      <c r="BI229" s="39"/>
      <c r="BJ229" s="39"/>
      <c r="BK229" s="39"/>
      <c r="BL229" s="39"/>
      <c r="BM229" s="39"/>
    </row>
    <row r="230" spans="1:65" x14ac:dyDescent="0.15">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9"/>
      <c r="AR230" s="39"/>
      <c r="AS230" s="39"/>
      <c r="AT230" s="39"/>
      <c r="AU230" s="39"/>
      <c r="AV230" s="39"/>
      <c r="AW230" s="39"/>
      <c r="AX230" s="39"/>
      <c r="AY230" s="39"/>
      <c r="AZ230" s="39"/>
      <c r="BA230" s="39"/>
      <c r="BB230" s="39"/>
      <c r="BC230" s="39"/>
      <c r="BD230" s="39"/>
      <c r="BE230" s="39"/>
      <c r="BF230" s="39"/>
      <c r="BG230" s="39"/>
      <c r="BH230" s="39"/>
      <c r="BI230" s="39"/>
      <c r="BJ230" s="39"/>
      <c r="BK230" s="39"/>
      <c r="BL230" s="39"/>
      <c r="BM230" s="39"/>
    </row>
    <row r="231" spans="1:65" x14ac:dyDescent="0.15">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row>
    <row r="232" spans="1:65" x14ac:dyDescent="0.15">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c r="AP232" s="39"/>
      <c r="AQ232" s="39"/>
      <c r="AR232" s="39"/>
      <c r="AS232" s="39"/>
      <c r="AT232" s="39"/>
      <c r="AU232" s="39"/>
      <c r="AV232" s="39"/>
      <c r="AW232" s="39"/>
      <c r="AX232" s="39"/>
      <c r="AY232" s="39"/>
      <c r="AZ232" s="39"/>
      <c r="BA232" s="39"/>
      <c r="BB232" s="39"/>
      <c r="BC232" s="39"/>
      <c r="BD232" s="39"/>
      <c r="BE232" s="39"/>
      <c r="BF232" s="39"/>
      <c r="BG232" s="39"/>
      <c r="BH232" s="39"/>
      <c r="BI232" s="39"/>
      <c r="BJ232" s="39"/>
      <c r="BK232" s="39"/>
      <c r="BL232" s="39"/>
      <c r="BM232" s="39"/>
    </row>
    <row r="233" spans="1:65" x14ac:dyDescent="0.15">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39"/>
      <c r="AR233" s="39"/>
      <c r="AS233" s="39"/>
      <c r="AT233" s="39"/>
      <c r="AU233" s="39"/>
      <c r="AV233" s="39"/>
      <c r="AW233" s="39"/>
      <c r="AX233" s="39"/>
      <c r="AY233" s="39"/>
      <c r="AZ233" s="39"/>
      <c r="BA233" s="39"/>
      <c r="BB233" s="39"/>
      <c r="BC233" s="39"/>
      <c r="BD233" s="39"/>
      <c r="BE233" s="39"/>
      <c r="BF233" s="39"/>
      <c r="BG233" s="39"/>
      <c r="BH233" s="39"/>
      <c r="BI233" s="39"/>
      <c r="BJ233" s="39"/>
      <c r="BK233" s="39"/>
      <c r="BL233" s="39"/>
      <c r="BM233" s="39"/>
    </row>
    <row r="234" spans="1:65" x14ac:dyDescent="0.15">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9"/>
      <c r="AR234" s="39"/>
      <c r="AS234" s="39"/>
      <c r="AT234" s="39"/>
      <c r="AU234" s="39"/>
      <c r="AV234" s="39"/>
      <c r="AW234" s="39"/>
      <c r="AX234" s="39"/>
      <c r="AY234" s="39"/>
      <c r="AZ234" s="39"/>
      <c r="BA234" s="39"/>
      <c r="BB234" s="39"/>
      <c r="BC234" s="39"/>
      <c r="BD234" s="39"/>
      <c r="BE234" s="39"/>
      <c r="BF234" s="39"/>
      <c r="BG234" s="39"/>
      <c r="BH234" s="39"/>
      <c r="BI234" s="39"/>
      <c r="BJ234" s="39"/>
      <c r="BK234" s="39"/>
      <c r="BL234" s="39"/>
      <c r="BM234" s="39"/>
    </row>
    <row r="235" spans="1:65" x14ac:dyDescent="0.1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row>
    <row r="236" spans="1:65" x14ac:dyDescent="0.15">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c r="AP236" s="39"/>
      <c r="AQ236" s="39"/>
      <c r="AR236" s="39"/>
      <c r="AS236" s="39"/>
      <c r="AT236" s="39"/>
      <c r="AU236" s="39"/>
      <c r="AV236" s="39"/>
      <c r="AW236" s="39"/>
      <c r="AX236" s="39"/>
      <c r="AY236" s="39"/>
      <c r="AZ236" s="39"/>
      <c r="BA236" s="39"/>
      <c r="BB236" s="39"/>
      <c r="BC236" s="39"/>
      <c r="BD236" s="39"/>
      <c r="BE236" s="39"/>
      <c r="BF236" s="39"/>
      <c r="BG236" s="39"/>
      <c r="BH236" s="39"/>
      <c r="BI236" s="39"/>
      <c r="BJ236" s="39"/>
      <c r="BK236" s="39"/>
      <c r="BL236" s="39"/>
      <c r="BM236" s="39"/>
    </row>
    <row r="237" spans="1:65" x14ac:dyDescent="0.15">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9"/>
      <c r="AR237" s="39"/>
      <c r="AS237" s="39"/>
      <c r="AT237" s="39"/>
      <c r="AU237" s="39"/>
      <c r="AV237" s="39"/>
      <c r="AW237" s="39"/>
      <c r="AX237" s="39"/>
      <c r="AY237" s="39"/>
      <c r="AZ237" s="39"/>
      <c r="BA237" s="39"/>
      <c r="BB237" s="39"/>
      <c r="BC237" s="39"/>
      <c r="BD237" s="39"/>
      <c r="BE237" s="39"/>
      <c r="BF237" s="39"/>
      <c r="BG237" s="39"/>
      <c r="BH237" s="39"/>
      <c r="BI237" s="39"/>
      <c r="BJ237" s="39"/>
      <c r="BK237" s="39"/>
      <c r="BL237" s="39"/>
      <c r="BM237" s="39"/>
    </row>
    <row r="238" spans="1:65" x14ac:dyDescent="0.15">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39"/>
      <c r="AR238" s="39"/>
      <c r="AS238" s="39"/>
      <c r="AT238" s="39"/>
      <c r="AU238" s="39"/>
      <c r="AV238" s="39"/>
      <c r="AW238" s="39"/>
      <c r="AX238" s="39"/>
      <c r="AY238" s="39"/>
      <c r="AZ238" s="39"/>
      <c r="BA238" s="39"/>
      <c r="BB238" s="39"/>
      <c r="BC238" s="39"/>
      <c r="BD238" s="39"/>
      <c r="BE238" s="39"/>
      <c r="BF238" s="39"/>
      <c r="BG238" s="39"/>
      <c r="BH238" s="39"/>
      <c r="BI238" s="39"/>
      <c r="BJ238" s="39"/>
      <c r="BK238" s="39"/>
      <c r="BL238" s="39"/>
      <c r="BM238" s="39"/>
    </row>
    <row r="239" spans="1:65" x14ac:dyDescent="0.15">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9"/>
      <c r="AR239" s="39"/>
      <c r="AS239" s="39"/>
      <c r="AT239" s="39"/>
      <c r="AU239" s="39"/>
      <c r="AV239" s="39"/>
      <c r="AW239" s="39"/>
      <c r="AX239" s="39"/>
      <c r="AY239" s="39"/>
      <c r="AZ239" s="39"/>
      <c r="BA239" s="39"/>
      <c r="BB239" s="39"/>
      <c r="BC239" s="39"/>
      <c r="BD239" s="39"/>
      <c r="BE239" s="39"/>
      <c r="BF239" s="39"/>
      <c r="BG239" s="39"/>
      <c r="BH239" s="39"/>
      <c r="BI239" s="39"/>
      <c r="BJ239" s="39"/>
      <c r="BK239" s="39"/>
      <c r="BL239" s="39"/>
      <c r="BM239" s="39"/>
    </row>
    <row r="240" spans="1:65" x14ac:dyDescent="0.15">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39"/>
      <c r="AR240" s="39"/>
      <c r="AS240" s="39"/>
      <c r="AT240" s="39"/>
      <c r="AU240" s="39"/>
      <c r="AV240" s="39"/>
      <c r="AW240" s="39"/>
      <c r="AX240" s="39"/>
      <c r="AY240" s="39"/>
      <c r="AZ240" s="39"/>
      <c r="BA240" s="39"/>
      <c r="BB240" s="39"/>
      <c r="BC240" s="39"/>
      <c r="BD240" s="39"/>
      <c r="BE240" s="39"/>
      <c r="BF240" s="39"/>
      <c r="BG240" s="39"/>
      <c r="BH240" s="39"/>
      <c r="BI240" s="39"/>
      <c r="BJ240" s="39"/>
      <c r="BK240" s="39"/>
      <c r="BL240" s="39"/>
      <c r="BM240" s="39"/>
    </row>
    <row r="241" spans="1:65" x14ac:dyDescent="0.15">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row>
    <row r="242" spans="1:65" x14ac:dyDescent="0.15">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39"/>
      <c r="AR242" s="39"/>
      <c r="AS242" s="39"/>
      <c r="AT242" s="39"/>
      <c r="AU242" s="39"/>
      <c r="AV242" s="39"/>
      <c r="AW242" s="39"/>
      <c r="AX242" s="39"/>
      <c r="AY242" s="39"/>
      <c r="AZ242" s="39"/>
      <c r="BA242" s="39"/>
      <c r="BB242" s="39"/>
      <c r="BC242" s="39"/>
      <c r="BD242" s="39"/>
      <c r="BE242" s="39"/>
      <c r="BF242" s="39"/>
      <c r="BG242" s="39"/>
      <c r="BH242" s="39"/>
      <c r="BI242" s="39"/>
      <c r="BJ242" s="39"/>
      <c r="BK242" s="39"/>
      <c r="BL242" s="39"/>
      <c r="BM242" s="39"/>
    </row>
    <row r="243" spans="1:65" x14ac:dyDescent="0.15">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39"/>
      <c r="AR243" s="39"/>
      <c r="AS243" s="39"/>
      <c r="AT243" s="39"/>
      <c r="AU243" s="39"/>
      <c r="AV243" s="39"/>
      <c r="AW243" s="39"/>
      <c r="AX243" s="39"/>
      <c r="AY243" s="39"/>
      <c r="AZ243" s="39"/>
      <c r="BA243" s="39"/>
      <c r="BB243" s="39"/>
      <c r="BC243" s="39"/>
      <c r="BD243" s="39"/>
      <c r="BE243" s="39"/>
      <c r="BF243" s="39"/>
      <c r="BG243" s="39"/>
      <c r="BH243" s="39"/>
      <c r="BI243" s="39"/>
      <c r="BJ243" s="39"/>
      <c r="BK243" s="39"/>
      <c r="BL243" s="39"/>
      <c r="BM243" s="39"/>
    </row>
    <row r="244" spans="1:65" x14ac:dyDescent="0.15">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c r="AP244" s="39"/>
      <c r="AQ244" s="39"/>
      <c r="AR244" s="39"/>
      <c r="AS244" s="39"/>
      <c r="AT244" s="39"/>
      <c r="AU244" s="39"/>
      <c r="AV244" s="39"/>
      <c r="AW244" s="39"/>
      <c r="AX244" s="39"/>
      <c r="AY244" s="39"/>
      <c r="AZ244" s="39"/>
      <c r="BA244" s="39"/>
      <c r="BB244" s="39"/>
      <c r="BC244" s="39"/>
      <c r="BD244" s="39"/>
      <c r="BE244" s="39"/>
      <c r="BF244" s="39"/>
      <c r="BG244" s="39"/>
      <c r="BH244" s="39"/>
      <c r="BI244" s="39"/>
      <c r="BJ244" s="39"/>
      <c r="BK244" s="39"/>
      <c r="BL244" s="39"/>
      <c r="BM244" s="39"/>
    </row>
    <row r="245" spans="1:65" x14ac:dyDescent="0.1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39"/>
      <c r="AR245" s="39"/>
      <c r="AS245" s="39"/>
      <c r="AT245" s="39"/>
      <c r="AU245" s="39"/>
      <c r="AV245" s="39"/>
      <c r="AW245" s="39"/>
      <c r="AX245" s="39"/>
      <c r="AY245" s="39"/>
      <c r="AZ245" s="39"/>
      <c r="BA245" s="39"/>
      <c r="BB245" s="39"/>
      <c r="BC245" s="39"/>
      <c r="BD245" s="39"/>
      <c r="BE245" s="39"/>
      <c r="BF245" s="39"/>
      <c r="BG245" s="39"/>
      <c r="BH245" s="39"/>
      <c r="BI245" s="39"/>
      <c r="BJ245" s="39"/>
      <c r="BK245" s="39"/>
      <c r="BL245" s="39"/>
      <c r="BM245" s="39"/>
    </row>
    <row r="246" spans="1:65" x14ac:dyDescent="0.15">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39"/>
      <c r="AR246" s="39"/>
      <c r="AS246" s="39"/>
      <c r="AT246" s="39"/>
      <c r="AU246" s="39"/>
      <c r="AV246" s="39"/>
      <c r="AW246" s="39"/>
      <c r="AX246" s="39"/>
      <c r="AY246" s="39"/>
      <c r="AZ246" s="39"/>
      <c r="BA246" s="39"/>
      <c r="BB246" s="39"/>
      <c r="BC246" s="39"/>
      <c r="BD246" s="39"/>
      <c r="BE246" s="39"/>
      <c r="BF246" s="39"/>
      <c r="BG246" s="39"/>
      <c r="BH246" s="39"/>
      <c r="BI246" s="39"/>
      <c r="BJ246" s="39"/>
      <c r="BK246" s="39"/>
      <c r="BL246" s="39"/>
      <c r="BM246" s="39"/>
    </row>
    <row r="247" spans="1:65" x14ac:dyDescent="0.15">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row>
    <row r="248" spans="1:65" x14ac:dyDescent="0.15">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39"/>
      <c r="AR248" s="39"/>
      <c r="AS248" s="39"/>
      <c r="AT248" s="39"/>
      <c r="AU248" s="39"/>
      <c r="AV248" s="39"/>
      <c r="AW248" s="39"/>
      <c r="AX248" s="39"/>
      <c r="AY248" s="39"/>
      <c r="AZ248" s="39"/>
      <c r="BA248" s="39"/>
      <c r="BB248" s="39"/>
      <c r="BC248" s="39"/>
      <c r="BD248" s="39"/>
      <c r="BE248" s="39"/>
      <c r="BF248" s="39"/>
      <c r="BG248" s="39"/>
      <c r="BH248" s="39"/>
      <c r="BI248" s="39"/>
      <c r="BJ248" s="39"/>
      <c r="BK248" s="39"/>
      <c r="BL248" s="39"/>
      <c r="BM248" s="39"/>
    </row>
    <row r="249" spans="1:65" x14ac:dyDescent="0.15">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39"/>
      <c r="AR249" s="39"/>
      <c r="AS249" s="39"/>
      <c r="AT249" s="39"/>
      <c r="AU249" s="39"/>
      <c r="AV249" s="39"/>
      <c r="AW249" s="39"/>
      <c r="AX249" s="39"/>
      <c r="AY249" s="39"/>
      <c r="AZ249" s="39"/>
      <c r="BA249" s="39"/>
      <c r="BB249" s="39"/>
      <c r="BC249" s="39"/>
      <c r="BD249" s="39"/>
      <c r="BE249" s="39"/>
      <c r="BF249" s="39"/>
      <c r="BG249" s="39"/>
      <c r="BH249" s="39"/>
      <c r="BI249" s="39"/>
      <c r="BJ249" s="39"/>
      <c r="BK249" s="39"/>
      <c r="BL249" s="39"/>
      <c r="BM249" s="39"/>
    </row>
    <row r="250" spans="1:65" x14ac:dyDescent="0.15">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39"/>
      <c r="AR250" s="39"/>
      <c r="AS250" s="39"/>
      <c r="AT250" s="39"/>
      <c r="AU250" s="39"/>
      <c r="AV250" s="39"/>
      <c r="AW250" s="39"/>
      <c r="AX250" s="39"/>
      <c r="AY250" s="39"/>
      <c r="AZ250" s="39"/>
      <c r="BA250" s="39"/>
      <c r="BB250" s="39"/>
      <c r="BC250" s="39"/>
      <c r="BD250" s="39"/>
      <c r="BE250" s="39"/>
      <c r="BF250" s="39"/>
      <c r="BG250" s="39"/>
      <c r="BH250" s="39"/>
      <c r="BI250" s="39"/>
      <c r="BJ250" s="39"/>
      <c r="BK250" s="39"/>
      <c r="BL250" s="39"/>
      <c r="BM250" s="39"/>
    </row>
    <row r="251" spans="1:65" x14ac:dyDescent="0.15">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39"/>
      <c r="AR251" s="39"/>
      <c r="AS251" s="39"/>
      <c r="AT251" s="39"/>
      <c r="AU251" s="39"/>
      <c r="AV251" s="39"/>
      <c r="AW251" s="39"/>
      <c r="AX251" s="39"/>
      <c r="AY251" s="39"/>
      <c r="AZ251" s="39"/>
      <c r="BA251" s="39"/>
      <c r="BB251" s="39"/>
      <c r="BC251" s="39"/>
      <c r="BD251" s="39"/>
      <c r="BE251" s="39"/>
      <c r="BF251" s="39"/>
      <c r="BG251" s="39"/>
      <c r="BH251" s="39"/>
      <c r="BI251" s="39"/>
      <c r="BJ251" s="39"/>
      <c r="BK251" s="39"/>
      <c r="BL251" s="39"/>
      <c r="BM251" s="39"/>
    </row>
    <row r="252" spans="1:65" x14ac:dyDescent="0.15">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c r="AP252" s="39"/>
      <c r="AQ252" s="39"/>
      <c r="AR252" s="39"/>
      <c r="AS252" s="39"/>
      <c r="AT252" s="39"/>
      <c r="AU252" s="39"/>
      <c r="AV252" s="39"/>
      <c r="AW252" s="39"/>
      <c r="AX252" s="39"/>
      <c r="AY252" s="39"/>
      <c r="AZ252" s="39"/>
      <c r="BA252" s="39"/>
      <c r="BB252" s="39"/>
      <c r="BC252" s="39"/>
      <c r="BD252" s="39"/>
      <c r="BE252" s="39"/>
      <c r="BF252" s="39"/>
      <c r="BG252" s="39"/>
      <c r="BH252" s="39"/>
      <c r="BI252" s="39"/>
      <c r="BJ252" s="39"/>
      <c r="BK252" s="39"/>
      <c r="BL252" s="39"/>
      <c r="BM252" s="39"/>
    </row>
    <row r="253" spans="1:65" x14ac:dyDescent="0.15">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row>
    <row r="254" spans="1:65" x14ac:dyDescent="0.15">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39"/>
      <c r="AR254" s="39"/>
      <c r="AS254" s="39"/>
      <c r="AT254" s="39"/>
      <c r="AU254" s="39"/>
      <c r="AV254" s="39"/>
      <c r="AW254" s="39"/>
      <c r="AX254" s="39"/>
      <c r="AY254" s="39"/>
      <c r="AZ254" s="39"/>
      <c r="BA254" s="39"/>
      <c r="BB254" s="39"/>
      <c r="BC254" s="39"/>
      <c r="BD254" s="39"/>
      <c r="BE254" s="39"/>
      <c r="BF254" s="39"/>
      <c r="BG254" s="39"/>
      <c r="BH254" s="39"/>
      <c r="BI254" s="39"/>
      <c r="BJ254" s="39"/>
      <c r="BK254" s="39"/>
      <c r="BL254" s="39"/>
      <c r="BM254" s="39"/>
    </row>
    <row r="255" spans="1:65" x14ac:dyDescent="0.1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39"/>
      <c r="AR255" s="39"/>
      <c r="AS255" s="39"/>
      <c r="AT255" s="39"/>
      <c r="AU255" s="39"/>
      <c r="AV255" s="39"/>
      <c r="AW255" s="39"/>
      <c r="AX255" s="39"/>
      <c r="AY255" s="39"/>
      <c r="AZ255" s="39"/>
      <c r="BA255" s="39"/>
      <c r="BB255" s="39"/>
      <c r="BC255" s="39"/>
      <c r="BD255" s="39"/>
      <c r="BE255" s="39"/>
      <c r="BF255" s="39"/>
      <c r="BG255" s="39"/>
      <c r="BH255" s="39"/>
      <c r="BI255" s="39"/>
      <c r="BJ255" s="39"/>
      <c r="BK255" s="39"/>
      <c r="BL255" s="39"/>
      <c r="BM255" s="39"/>
    </row>
    <row r="256" spans="1:65" x14ac:dyDescent="0.15">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c r="AP256" s="39"/>
      <c r="AQ256" s="39"/>
      <c r="AR256" s="39"/>
      <c r="AS256" s="39"/>
      <c r="AT256" s="39"/>
      <c r="AU256" s="39"/>
      <c r="AV256" s="39"/>
      <c r="AW256" s="39"/>
      <c r="AX256" s="39"/>
      <c r="AY256" s="39"/>
      <c r="AZ256" s="39"/>
      <c r="BA256" s="39"/>
      <c r="BB256" s="39"/>
      <c r="BC256" s="39"/>
      <c r="BD256" s="39"/>
      <c r="BE256" s="39"/>
      <c r="BF256" s="39"/>
      <c r="BG256" s="39"/>
      <c r="BH256" s="39"/>
      <c r="BI256" s="39"/>
      <c r="BJ256" s="39"/>
      <c r="BK256" s="39"/>
      <c r="BL256" s="39"/>
      <c r="BM256" s="39"/>
    </row>
    <row r="257" spans="1:65" x14ac:dyDescent="0.15">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39"/>
      <c r="AR257" s="39"/>
      <c r="AS257" s="39"/>
      <c r="AT257" s="39"/>
      <c r="AU257" s="39"/>
      <c r="AV257" s="39"/>
      <c r="AW257" s="39"/>
      <c r="AX257" s="39"/>
      <c r="AY257" s="39"/>
      <c r="AZ257" s="39"/>
      <c r="BA257" s="39"/>
      <c r="BB257" s="39"/>
      <c r="BC257" s="39"/>
      <c r="BD257" s="39"/>
      <c r="BE257" s="39"/>
      <c r="BF257" s="39"/>
      <c r="BG257" s="39"/>
      <c r="BH257" s="39"/>
      <c r="BI257" s="39"/>
      <c r="BJ257" s="39"/>
      <c r="BK257" s="39"/>
      <c r="BL257" s="39"/>
      <c r="BM257" s="39"/>
    </row>
    <row r="258" spans="1:65" x14ac:dyDescent="0.15">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39"/>
      <c r="AR258" s="39"/>
      <c r="AS258" s="39"/>
      <c r="AT258" s="39"/>
      <c r="AU258" s="39"/>
      <c r="AV258" s="39"/>
      <c r="AW258" s="39"/>
      <c r="AX258" s="39"/>
      <c r="AY258" s="39"/>
      <c r="AZ258" s="39"/>
      <c r="BA258" s="39"/>
      <c r="BB258" s="39"/>
      <c r="BC258" s="39"/>
      <c r="BD258" s="39"/>
      <c r="BE258" s="39"/>
      <c r="BF258" s="39"/>
      <c r="BG258" s="39"/>
      <c r="BH258" s="39"/>
      <c r="BI258" s="39"/>
      <c r="BJ258" s="39"/>
      <c r="BK258" s="39"/>
      <c r="BL258" s="39"/>
      <c r="BM258" s="39"/>
    </row>
    <row r="259" spans="1:65" x14ac:dyDescent="0.15">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39"/>
      <c r="AR259" s="39"/>
      <c r="AS259" s="39"/>
      <c r="AT259" s="39"/>
      <c r="AU259" s="39"/>
      <c r="AV259" s="39"/>
      <c r="AW259" s="39"/>
      <c r="AX259" s="39"/>
      <c r="AY259" s="39"/>
      <c r="AZ259" s="39"/>
      <c r="BA259" s="39"/>
      <c r="BB259" s="39"/>
      <c r="BC259" s="39"/>
      <c r="BD259" s="39"/>
      <c r="BE259" s="39"/>
      <c r="BF259" s="39"/>
      <c r="BG259" s="39"/>
      <c r="BH259" s="39"/>
      <c r="BI259" s="39"/>
      <c r="BJ259" s="39"/>
      <c r="BK259" s="39"/>
      <c r="BL259" s="39"/>
      <c r="BM259" s="39"/>
    </row>
    <row r="260" spans="1:65" x14ac:dyDescent="0.15">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39"/>
      <c r="AR260" s="39"/>
      <c r="AS260" s="39"/>
      <c r="AT260" s="39"/>
      <c r="AU260" s="39"/>
      <c r="AV260" s="39"/>
      <c r="AW260" s="39"/>
      <c r="AX260" s="39"/>
      <c r="AY260" s="39"/>
      <c r="AZ260" s="39"/>
      <c r="BA260" s="39"/>
      <c r="BB260" s="39"/>
      <c r="BC260" s="39"/>
      <c r="BD260" s="39"/>
      <c r="BE260" s="39"/>
      <c r="BF260" s="39"/>
      <c r="BG260" s="39"/>
      <c r="BH260" s="39"/>
      <c r="BI260" s="39"/>
      <c r="BJ260" s="39"/>
      <c r="BK260" s="39"/>
      <c r="BL260" s="39"/>
      <c r="BM260" s="39"/>
    </row>
    <row r="261" spans="1:65" x14ac:dyDescent="0.15">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c r="AR261" s="39"/>
      <c r="AS261" s="39"/>
      <c r="AT261" s="39"/>
      <c r="AU261" s="39"/>
      <c r="AV261" s="39"/>
      <c r="AW261" s="39"/>
      <c r="AX261" s="39"/>
      <c r="AY261" s="39"/>
      <c r="AZ261" s="39"/>
      <c r="BA261" s="39"/>
      <c r="BB261" s="39"/>
      <c r="BC261" s="39"/>
      <c r="BD261" s="39"/>
      <c r="BE261" s="39"/>
      <c r="BF261" s="39"/>
      <c r="BG261" s="39"/>
      <c r="BH261" s="39"/>
      <c r="BI261" s="39"/>
      <c r="BJ261" s="39"/>
      <c r="BK261" s="39"/>
      <c r="BL261" s="39"/>
      <c r="BM261" s="39"/>
    </row>
    <row r="262" spans="1:65" x14ac:dyDescent="0.15">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39"/>
      <c r="AR262" s="39"/>
      <c r="AS262" s="39"/>
      <c r="AT262" s="39"/>
      <c r="AU262" s="39"/>
      <c r="AV262" s="39"/>
      <c r="AW262" s="39"/>
      <c r="AX262" s="39"/>
      <c r="AY262" s="39"/>
      <c r="AZ262" s="39"/>
      <c r="BA262" s="39"/>
      <c r="BB262" s="39"/>
      <c r="BC262" s="39"/>
      <c r="BD262" s="39"/>
      <c r="BE262" s="39"/>
      <c r="BF262" s="39"/>
      <c r="BG262" s="39"/>
      <c r="BH262" s="39"/>
      <c r="BI262" s="39"/>
      <c r="BJ262" s="39"/>
      <c r="BK262" s="39"/>
      <c r="BL262" s="39"/>
      <c r="BM262" s="39"/>
    </row>
    <row r="263" spans="1:65" x14ac:dyDescent="0.15">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39"/>
      <c r="AR263" s="39"/>
      <c r="AS263" s="39"/>
      <c r="AT263" s="39"/>
      <c r="AU263" s="39"/>
      <c r="AV263" s="39"/>
      <c r="AW263" s="39"/>
      <c r="AX263" s="39"/>
      <c r="AY263" s="39"/>
      <c r="AZ263" s="39"/>
      <c r="BA263" s="39"/>
      <c r="BB263" s="39"/>
      <c r="BC263" s="39"/>
      <c r="BD263" s="39"/>
      <c r="BE263" s="39"/>
      <c r="BF263" s="39"/>
      <c r="BG263" s="39"/>
      <c r="BH263" s="39"/>
      <c r="BI263" s="39"/>
      <c r="BJ263" s="39"/>
      <c r="BK263" s="39"/>
      <c r="BL263" s="39"/>
      <c r="BM263" s="39"/>
    </row>
    <row r="264" spans="1:65" x14ac:dyDescent="0.15">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39"/>
      <c r="AR264" s="39"/>
      <c r="AS264" s="39"/>
      <c r="AT264" s="39"/>
      <c r="AU264" s="39"/>
      <c r="AV264" s="39"/>
      <c r="AW264" s="39"/>
      <c r="AX264" s="39"/>
      <c r="AY264" s="39"/>
      <c r="AZ264" s="39"/>
      <c r="BA264" s="39"/>
      <c r="BB264" s="39"/>
      <c r="BC264" s="39"/>
      <c r="BD264" s="39"/>
      <c r="BE264" s="39"/>
      <c r="BF264" s="39"/>
      <c r="BG264" s="39"/>
      <c r="BH264" s="39"/>
      <c r="BI264" s="39"/>
      <c r="BJ264" s="39"/>
      <c r="BK264" s="39"/>
      <c r="BL264" s="39"/>
      <c r="BM264" s="39"/>
    </row>
    <row r="265" spans="1:65" x14ac:dyDescent="0.1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39"/>
      <c r="AR265" s="39"/>
      <c r="AS265" s="39"/>
      <c r="AT265" s="39"/>
      <c r="AU265" s="39"/>
      <c r="AV265" s="39"/>
      <c r="AW265" s="39"/>
      <c r="AX265" s="39"/>
      <c r="AY265" s="39"/>
      <c r="AZ265" s="39"/>
      <c r="BA265" s="39"/>
      <c r="BB265" s="39"/>
      <c r="BC265" s="39"/>
      <c r="BD265" s="39"/>
      <c r="BE265" s="39"/>
      <c r="BF265" s="39"/>
      <c r="BG265" s="39"/>
      <c r="BH265" s="39"/>
      <c r="BI265" s="39"/>
      <c r="BJ265" s="39"/>
      <c r="BK265" s="39"/>
      <c r="BL265" s="39"/>
      <c r="BM265" s="39"/>
    </row>
    <row r="266" spans="1:65" x14ac:dyDescent="0.15">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9"/>
      <c r="AR266" s="39"/>
      <c r="AS266" s="39"/>
      <c r="AT266" s="39"/>
      <c r="AU266" s="39"/>
      <c r="AV266" s="39"/>
      <c r="AW266" s="39"/>
      <c r="AX266" s="39"/>
      <c r="AY266" s="39"/>
      <c r="AZ266" s="39"/>
      <c r="BA266" s="39"/>
      <c r="BB266" s="39"/>
      <c r="BC266" s="39"/>
      <c r="BD266" s="39"/>
      <c r="BE266" s="39"/>
      <c r="BF266" s="39"/>
      <c r="BG266" s="39"/>
      <c r="BH266" s="39"/>
      <c r="BI266" s="39"/>
      <c r="BJ266" s="39"/>
      <c r="BK266" s="39"/>
      <c r="BL266" s="39"/>
      <c r="BM266" s="39"/>
    </row>
    <row r="267" spans="1:65" x14ac:dyDescent="0.15">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row>
    <row r="268" spans="1:65" x14ac:dyDescent="0.15">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c r="BA268" s="39"/>
      <c r="BB268" s="39"/>
      <c r="BC268" s="39"/>
      <c r="BD268" s="39"/>
      <c r="BE268" s="39"/>
      <c r="BF268" s="39"/>
      <c r="BG268" s="39"/>
      <c r="BH268" s="39"/>
      <c r="BI268" s="39"/>
      <c r="BJ268" s="39"/>
      <c r="BK268" s="39"/>
      <c r="BL268" s="39"/>
      <c r="BM268" s="39"/>
    </row>
    <row r="269" spans="1:65" x14ac:dyDescent="0.15">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9"/>
      <c r="AR269" s="39"/>
      <c r="AS269" s="39"/>
      <c r="AT269" s="39"/>
      <c r="AU269" s="39"/>
      <c r="AV269" s="39"/>
      <c r="AW269" s="39"/>
      <c r="AX269" s="39"/>
      <c r="AY269" s="39"/>
      <c r="AZ269" s="39"/>
      <c r="BA269" s="39"/>
      <c r="BB269" s="39"/>
      <c r="BC269" s="39"/>
      <c r="BD269" s="39"/>
      <c r="BE269" s="39"/>
      <c r="BF269" s="39"/>
      <c r="BG269" s="39"/>
      <c r="BH269" s="39"/>
      <c r="BI269" s="39"/>
      <c r="BJ269" s="39"/>
      <c r="BK269" s="39"/>
      <c r="BL269" s="39"/>
      <c r="BM269" s="39"/>
    </row>
    <row r="270" spans="1:65" x14ac:dyDescent="0.15">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39"/>
      <c r="AR270" s="39"/>
      <c r="AS270" s="39"/>
      <c r="AT270" s="39"/>
      <c r="AU270" s="39"/>
      <c r="AV270" s="39"/>
      <c r="AW270" s="39"/>
      <c r="AX270" s="39"/>
      <c r="AY270" s="39"/>
      <c r="AZ270" s="39"/>
      <c r="BA270" s="39"/>
      <c r="BB270" s="39"/>
      <c r="BC270" s="39"/>
      <c r="BD270" s="39"/>
      <c r="BE270" s="39"/>
      <c r="BF270" s="39"/>
      <c r="BG270" s="39"/>
      <c r="BH270" s="39"/>
      <c r="BI270" s="39"/>
      <c r="BJ270" s="39"/>
      <c r="BK270" s="39"/>
      <c r="BL270" s="39"/>
      <c r="BM270" s="39"/>
    </row>
    <row r="271" spans="1:65" x14ac:dyDescent="0.15">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39"/>
      <c r="AR271" s="39"/>
      <c r="AS271" s="39"/>
      <c r="AT271" s="39"/>
      <c r="AU271" s="39"/>
      <c r="AV271" s="39"/>
      <c r="AW271" s="39"/>
      <c r="AX271" s="39"/>
      <c r="AY271" s="39"/>
      <c r="AZ271" s="39"/>
      <c r="BA271" s="39"/>
      <c r="BB271" s="39"/>
      <c r="BC271" s="39"/>
      <c r="BD271" s="39"/>
      <c r="BE271" s="39"/>
      <c r="BF271" s="39"/>
      <c r="BG271" s="39"/>
      <c r="BH271" s="39"/>
      <c r="BI271" s="39"/>
      <c r="BJ271" s="39"/>
      <c r="BK271" s="39"/>
      <c r="BL271" s="39"/>
      <c r="BM271" s="39"/>
    </row>
    <row r="272" spans="1:65" x14ac:dyDescent="0.15">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39"/>
      <c r="AR272" s="39"/>
      <c r="AS272" s="39"/>
      <c r="AT272" s="39"/>
      <c r="AU272" s="39"/>
      <c r="AV272" s="39"/>
      <c r="AW272" s="39"/>
      <c r="AX272" s="39"/>
      <c r="AY272" s="39"/>
      <c r="AZ272" s="39"/>
      <c r="BA272" s="39"/>
      <c r="BB272" s="39"/>
      <c r="BC272" s="39"/>
      <c r="BD272" s="39"/>
      <c r="BE272" s="39"/>
      <c r="BF272" s="39"/>
      <c r="BG272" s="39"/>
      <c r="BH272" s="39"/>
      <c r="BI272" s="39"/>
      <c r="BJ272" s="39"/>
      <c r="BK272" s="39"/>
      <c r="BL272" s="39"/>
      <c r="BM272" s="39"/>
    </row>
    <row r="273" spans="1:65" x14ac:dyDescent="0.15">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39"/>
      <c r="AR273" s="39"/>
      <c r="AS273" s="39"/>
      <c r="AT273" s="39"/>
      <c r="AU273" s="39"/>
      <c r="AV273" s="39"/>
      <c r="AW273" s="39"/>
      <c r="AX273" s="39"/>
      <c r="AY273" s="39"/>
      <c r="AZ273" s="39"/>
      <c r="BA273" s="39"/>
      <c r="BB273" s="39"/>
      <c r="BC273" s="39"/>
      <c r="BD273" s="39"/>
      <c r="BE273" s="39"/>
      <c r="BF273" s="39"/>
      <c r="BG273" s="39"/>
      <c r="BH273" s="39"/>
      <c r="BI273" s="39"/>
      <c r="BJ273" s="39"/>
      <c r="BK273" s="39"/>
      <c r="BL273" s="39"/>
      <c r="BM273" s="39"/>
    </row>
    <row r="274" spans="1:65" x14ac:dyDescent="0.15">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row>
    <row r="275" spans="1:65" x14ac:dyDescent="0.1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39"/>
      <c r="AR275" s="39"/>
      <c r="AS275" s="39"/>
      <c r="AT275" s="39"/>
      <c r="AU275" s="39"/>
      <c r="AV275" s="39"/>
      <c r="AW275" s="39"/>
      <c r="AX275" s="39"/>
      <c r="AY275" s="39"/>
      <c r="AZ275" s="39"/>
      <c r="BA275" s="39"/>
      <c r="BB275" s="39"/>
      <c r="BC275" s="39"/>
      <c r="BD275" s="39"/>
      <c r="BE275" s="39"/>
      <c r="BF275" s="39"/>
      <c r="BG275" s="39"/>
      <c r="BH275" s="39"/>
      <c r="BI275" s="39"/>
      <c r="BJ275" s="39"/>
      <c r="BK275" s="39"/>
      <c r="BL275" s="39"/>
      <c r="BM275" s="39"/>
    </row>
    <row r="276" spans="1:65" x14ac:dyDescent="0.15">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39"/>
      <c r="AR276" s="39"/>
      <c r="AS276" s="39"/>
      <c r="AT276" s="39"/>
      <c r="AU276" s="39"/>
      <c r="AV276" s="39"/>
      <c r="AW276" s="39"/>
      <c r="AX276" s="39"/>
      <c r="AY276" s="39"/>
      <c r="AZ276" s="39"/>
      <c r="BA276" s="39"/>
      <c r="BB276" s="39"/>
      <c r="BC276" s="39"/>
      <c r="BD276" s="39"/>
      <c r="BE276" s="39"/>
      <c r="BF276" s="39"/>
      <c r="BG276" s="39"/>
      <c r="BH276" s="39"/>
      <c r="BI276" s="39"/>
      <c r="BJ276" s="39"/>
      <c r="BK276" s="39"/>
      <c r="BL276" s="39"/>
      <c r="BM276" s="39"/>
    </row>
    <row r="277" spans="1:65" x14ac:dyDescent="0.15">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c r="AR277" s="39"/>
      <c r="AS277" s="39"/>
      <c r="AT277" s="39"/>
      <c r="AU277" s="39"/>
      <c r="AV277" s="39"/>
      <c r="AW277" s="39"/>
      <c r="AX277" s="39"/>
      <c r="AY277" s="39"/>
      <c r="AZ277" s="39"/>
      <c r="BA277" s="39"/>
      <c r="BB277" s="39"/>
      <c r="BC277" s="39"/>
      <c r="BD277" s="39"/>
      <c r="BE277" s="39"/>
      <c r="BF277" s="39"/>
      <c r="BG277" s="39"/>
      <c r="BH277" s="39"/>
      <c r="BI277" s="39"/>
      <c r="BJ277" s="39"/>
      <c r="BK277" s="39"/>
      <c r="BL277" s="39"/>
      <c r="BM277" s="39"/>
    </row>
    <row r="278" spans="1:65" x14ac:dyDescent="0.15">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39"/>
      <c r="AR278" s="39"/>
      <c r="AS278" s="39"/>
      <c r="AT278" s="39"/>
      <c r="AU278" s="39"/>
      <c r="AV278" s="39"/>
      <c r="AW278" s="39"/>
      <c r="AX278" s="39"/>
      <c r="AY278" s="39"/>
      <c r="AZ278" s="39"/>
      <c r="BA278" s="39"/>
      <c r="BB278" s="39"/>
      <c r="BC278" s="39"/>
      <c r="BD278" s="39"/>
      <c r="BE278" s="39"/>
      <c r="BF278" s="39"/>
      <c r="BG278" s="39"/>
      <c r="BH278" s="39"/>
      <c r="BI278" s="39"/>
      <c r="BJ278" s="39"/>
      <c r="BK278" s="39"/>
      <c r="BL278" s="39"/>
      <c r="BM278" s="39"/>
    </row>
    <row r="279" spans="1:65" x14ac:dyDescent="0.15">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39"/>
      <c r="AR279" s="39"/>
      <c r="AS279" s="39"/>
      <c r="AT279" s="39"/>
      <c r="AU279" s="39"/>
      <c r="AV279" s="39"/>
      <c r="AW279" s="39"/>
      <c r="AX279" s="39"/>
      <c r="AY279" s="39"/>
      <c r="AZ279" s="39"/>
      <c r="BA279" s="39"/>
      <c r="BB279" s="39"/>
      <c r="BC279" s="39"/>
      <c r="BD279" s="39"/>
      <c r="BE279" s="39"/>
      <c r="BF279" s="39"/>
      <c r="BG279" s="39"/>
      <c r="BH279" s="39"/>
      <c r="BI279" s="39"/>
      <c r="BJ279" s="39"/>
      <c r="BK279" s="39"/>
      <c r="BL279" s="39"/>
      <c r="BM279" s="39"/>
    </row>
    <row r="280" spans="1:65" x14ac:dyDescent="0.15">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39"/>
      <c r="AR280" s="39"/>
      <c r="AS280" s="39"/>
      <c r="AT280" s="39"/>
      <c r="AU280" s="39"/>
      <c r="AV280" s="39"/>
      <c r="AW280" s="39"/>
      <c r="AX280" s="39"/>
      <c r="AY280" s="39"/>
      <c r="AZ280" s="39"/>
      <c r="BA280" s="39"/>
      <c r="BB280" s="39"/>
      <c r="BC280" s="39"/>
      <c r="BD280" s="39"/>
      <c r="BE280" s="39"/>
      <c r="BF280" s="39"/>
      <c r="BG280" s="39"/>
      <c r="BH280" s="39"/>
      <c r="BI280" s="39"/>
      <c r="BJ280" s="39"/>
      <c r="BK280" s="39"/>
      <c r="BL280" s="39"/>
      <c r="BM280" s="39"/>
    </row>
    <row r="281" spans="1:65" x14ac:dyDescent="0.15">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39"/>
      <c r="AR281" s="39"/>
      <c r="AS281" s="39"/>
      <c r="AT281" s="39"/>
      <c r="AU281" s="39"/>
      <c r="AV281" s="39"/>
      <c r="AW281" s="39"/>
      <c r="AX281" s="39"/>
      <c r="AY281" s="39"/>
      <c r="AZ281" s="39"/>
      <c r="BA281" s="39"/>
      <c r="BB281" s="39"/>
      <c r="BC281" s="39"/>
      <c r="BD281" s="39"/>
      <c r="BE281" s="39"/>
      <c r="BF281" s="39"/>
      <c r="BG281" s="39"/>
      <c r="BH281" s="39"/>
      <c r="BI281" s="39"/>
      <c r="BJ281" s="39"/>
      <c r="BK281" s="39"/>
      <c r="BL281" s="39"/>
      <c r="BM281" s="39"/>
    </row>
    <row r="282" spans="1:65" x14ac:dyDescent="0.15">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9"/>
      <c r="AR282" s="39"/>
      <c r="AS282" s="39"/>
      <c r="AT282" s="39"/>
      <c r="AU282" s="39"/>
      <c r="AV282" s="39"/>
      <c r="AW282" s="39"/>
      <c r="AX282" s="39"/>
      <c r="AY282" s="39"/>
      <c r="AZ282" s="39"/>
      <c r="BA282" s="39"/>
      <c r="BB282" s="39"/>
      <c r="BC282" s="39"/>
      <c r="BD282" s="39"/>
      <c r="BE282" s="39"/>
      <c r="BF282" s="39"/>
      <c r="BG282" s="39"/>
      <c r="BH282" s="39"/>
      <c r="BI282" s="39"/>
      <c r="BJ282" s="39"/>
      <c r="BK282" s="39"/>
      <c r="BL282" s="39"/>
      <c r="BM282" s="39"/>
    </row>
    <row r="283" spans="1:65" x14ac:dyDescent="0.15">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c r="AR283" s="39"/>
      <c r="AS283" s="39"/>
      <c r="AT283" s="39"/>
      <c r="AU283" s="39"/>
      <c r="AV283" s="39"/>
      <c r="AW283" s="39"/>
      <c r="AX283" s="39"/>
      <c r="AY283" s="39"/>
      <c r="AZ283" s="39"/>
      <c r="BA283" s="39"/>
      <c r="BB283" s="39"/>
      <c r="BC283" s="39"/>
      <c r="BD283" s="39"/>
      <c r="BE283" s="39"/>
      <c r="BF283" s="39"/>
      <c r="BG283" s="39"/>
      <c r="BH283" s="39"/>
      <c r="BI283" s="39"/>
      <c r="BJ283" s="39"/>
      <c r="BK283" s="39"/>
      <c r="BL283" s="39"/>
      <c r="BM283" s="39"/>
    </row>
    <row r="284" spans="1:65" x14ac:dyDescent="0.15">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39"/>
      <c r="AR284" s="39"/>
      <c r="AS284" s="39"/>
      <c r="AT284" s="39"/>
      <c r="AU284" s="39"/>
      <c r="AV284" s="39"/>
      <c r="AW284" s="39"/>
      <c r="AX284" s="39"/>
      <c r="AY284" s="39"/>
      <c r="AZ284" s="39"/>
      <c r="BA284" s="39"/>
      <c r="BB284" s="39"/>
      <c r="BC284" s="39"/>
      <c r="BD284" s="39"/>
      <c r="BE284" s="39"/>
      <c r="BF284" s="39"/>
      <c r="BG284" s="39"/>
      <c r="BH284" s="39"/>
      <c r="BI284" s="39"/>
      <c r="BJ284" s="39"/>
      <c r="BK284" s="39"/>
      <c r="BL284" s="39"/>
      <c r="BM284" s="39"/>
    </row>
    <row r="285" spans="1:65" x14ac:dyDescent="0.1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39"/>
      <c r="AR285" s="39"/>
      <c r="AS285" s="39"/>
      <c r="AT285" s="39"/>
      <c r="AU285" s="39"/>
      <c r="AV285" s="39"/>
      <c r="AW285" s="39"/>
      <c r="AX285" s="39"/>
      <c r="AY285" s="39"/>
      <c r="AZ285" s="39"/>
      <c r="BA285" s="39"/>
      <c r="BB285" s="39"/>
      <c r="BC285" s="39"/>
      <c r="BD285" s="39"/>
      <c r="BE285" s="39"/>
      <c r="BF285" s="39"/>
      <c r="BG285" s="39"/>
      <c r="BH285" s="39"/>
      <c r="BI285" s="39"/>
      <c r="BJ285" s="39"/>
      <c r="BK285" s="39"/>
      <c r="BL285" s="39"/>
      <c r="BM285" s="39"/>
    </row>
    <row r="286" spans="1:65" x14ac:dyDescent="0.15">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9"/>
      <c r="AR286" s="39"/>
      <c r="AS286" s="39"/>
      <c r="AT286" s="39"/>
      <c r="AU286" s="39"/>
      <c r="AV286" s="39"/>
      <c r="AW286" s="39"/>
      <c r="AX286" s="39"/>
      <c r="AY286" s="39"/>
      <c r="AZ286" s="39"/>
      <c r="BA286" s="39"/>
      <c r="BB286" s="39"/>
      <c r="BC286" s="39"/>
      <c r="BD286" s="39"/>
      <c r="BE286" s="39"/>
      <c r="BF286" s="39"/>
      <c r="BG286" s="39"/>
      <c r="BH286" s="39"/>
      <c r="BI286" s="39"/>
      <c r="BJ286" s="39"/>
      <c r="BK286" s="39"/>
      <c r="BL286" s="39"/>
      <c r="BM286" s="39"/>
    </row>
    <row r="287" spans="1:65" x14ac:dyDescent="0.15">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9"/>
      <c r="AR287" s="39"/>
      <c r="AS287" s="39"/>
      <c r="AT287" s="39"/>
      <c r="AU287" s="39"/>
      <c r="AV287" s="39"/>
      <c r="AW287" s="39"/>
      <c r="AX287" s="39"/>
      <c r="AY287" s="39"/>
      <c r="AZ287" s="39"/>
      <c r="BA287" s="39"/>
      <c r="BB287" s="39"/>
      <c r="BC287" s="39"/>
      <c r="BD287" s="39"/>
      <c r="BE287" s="39"/>
      <c r="BF287" s="39"/>
      <c r="BG287" s="39"/>
      <c r="BH287" s="39"/>
      <c r="BI287" s="39"/>
      <c r="BJ287" s="39"/>
      <c r="BK287" s="39"/>
      <c r="BL287" s="39"/>
      <c r="BM287" s="39"/>
    </row>
    <row r="288" spans="1:65" x14ac:dyDescent="0.15">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39"/>
      <c r="AT288" s="39"/>
      <c r="AU288" s="39"/>
      <c r="AV288" s="39"/>
      <c r="AW288" s="39"/>
      <c r="AX288" s="39"/>
      <c r="AY288" s="39"/>
      <c r="AZ288" s="39"/>
      <c r="BA288" s="39"/>
      <c r="BB288" s="39"/>
      <c r="BC288" s="39"/>
      <c r="BD288" s="39"/>
      <c r="BE288" s="39"/>
      <c r="BF288" s="39"/>
      <c r="BG288" s="39"/>
      <c r="BH288" s="39"/>
      <c r="BI288" s="39"/>
      <c r="BJ288" s="39"/>
      <c r="BK288" s="39"/>
      <c r="BL288" s="39"/>
      <c r="BM288" s="39"/>
    </row>
    <row r="289" spans="1:65" x14ac:dyDescent="0.15">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row>
    <row r="290" spans="1:65" x14ac:dyDescent="0.15">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39"/>
      <c r="AR290" s="39"/>
      <c r="AS290" s="39"/>
      <c r="AT290" s="39"/>
      <c r="AU290" s="39"/>
      <c r="AV290" s="39"/>
      <c r="AW290" s="39"/>
      <c r="AX290" s="39"/>
      <c r="AY290" s="39"/>
      <c r="AZ290" s="39"/>
      <c r="BA290" s="39"/>
      <c r="BB290" s="39"/>
      <c r="BC290" s="39"/>
      <c r="BD290" s="39"/>
      <c r="BE290" s="39"/>
      <c r="BF290" s="39"/>
      <c r="BG290" s="39"/>
      <c r="BH290" s="39"/>
      <c r="BI290" s="39"/>
      <c r="BJ290" s="39"/>
      <c r="BK290" s="39"/>
      <c r="BL290" s="39"/>
      <c r="BM290" s="39"/>
    </row>
    <row r="291" spans="1:65" x14ac:dyDescent="0.15">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39"/>
      <c r="AR291" s="39"/>
      <c r="AS291" s="39"/>
      <c r="AT291" s="39"/>
      <c r="AU291" s="39"/>
      <c r="AV291" s="39"/>
      <c r="AW291" s="39"/>
      <c r="AX291" s="39"/>
      <c r="AY291" s="39"/>
      <c r="AZ291" s="39"/>
      <c r="BA291" s="39"/>
      <c r="BB291" s="39"/>
      <c r="BC291" s="39"/>
      <c r="BD291" s="39"/>
      <c r="BE291" s="39"/>
      <c r="BF291" s="39"/>
      <c r="BG291" s="39"/>
      <c r="BH291" s="39"/>
      <c r="BI291" s="39"/>
      <c r="BJ291" s="39"/>
      <c r="BK291" s="39"/>
      <c r="BL291" s="39"/>
      <c r="BM291" s="39"/>
    </row>
    <row r="292" spans="1:65" x14ac:dyDescent="0.15">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c r="AR292" s="39"/>
      <c r="AS292" s="39"/>
      <c r="AT292" s="39"/>
      <c r="AU292" s="39"/>
      <c r="AV292" s="39"/>
      <c r="AW292" s="39"/>
      <c r="AX292" s="39"/>
      <c r="AY292" s="39"/>
      <c r="AZ292" s="39"/>
      <c r="BA292" s="39"/>
      <c r="BB292" s="39"/>
      <c r="BC292" s="39"/>
      <c r="BD292" s="39"/>
      <c r="BE292" s="39"/>
      <c r="BF292" s="39"/>
      <c r="BG292" s="39"/>
      <c r="BH292" s="39"/>
      <c r="BI292" s="39"/>
      <c r="BJ292" s="39"/>
      <c r="BK292" s="39"/>
      <c r="BL292" s="39"/>
      <c r="BM292" s="39"/>
    </row>
    <row r="293" spans="1:65" x14ac:dyDescent="0.15">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39"/>
      <c r="AR293" s="39"/>
      <c r="AS293" s="39"/>
      <c r="AT293" s="39"/>
      <c r="AU293" s="39"/>
      <c r="AV293" s="39"/>
      <c r="AW293" s="39"/>
      <c r="AX293" s="39"/>
      <c r="AY293" s="39"/>
      <c r="AZ293" s="39"/>
      <c r="BA293" s="39"/>
      <c r="BB293" s="39"/>
      <c r="BC293" s="39"/>
      <c r="BD293" s="39"/>
      <c r="BE293" s="39"/>
      <c r="BF293" s="39"/>
      <c r="BG293" s="39"/>
      <c r="BH293" s="39"/>
      <c r="BI293" s="39"/>
      <c r="BJ293" s="39"/>
      <c r="BK293" s="39"/>
      <c r="BL293" s="39"/>
      <c r="BM293" s="39"/>
    </row>
    <row r="294" spans="1:65" x14ac:dyDescent="0.15">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row>
    <row r="295" spans="1:65" x14ac:dyDescent="0.1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row>
    <row r="296" spans="1:65" x14ac:dyDescent="0.15">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c r="AP296" s="39"/>
      <c r="AQ296" s="39"/>
      <c r="AR296" s="39"/>
      <c r="AS296" s="39"/>
      <c r="AT296" s="39"/>
      <c r="AU296" s="39"/>
      <c r="AV296" s="39"/>
      <c r="AW296" s="39"/>
      <c r="AX296" s="39"/>
      <c r="AY296" s="39"/>
      <c r="AZ296" s="39"/>
      <c r="BA296" s="39"/>
      <c r="BB296" s="39"/>
      <c r="BC296" s="39"/>
      <c r="BD296" s="39"/>
      <c r="BE296" s="39"/>
      <c r="BF296" s="39"/>
      <c r="BG296" s="39"/>
      <c r="BH296" s="39"/>
      <c r="BI296" s="39"/>
      <c r="BJ296" s="39"/>
      <c r="BK296" s="39"/>
      <c r="BL296" s="39"/>
      <c r="BM296" s="39"/>
    </row>
    <row r="297" spans="1:65" x14ac:dyDescent="0.15">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39"/>
      <c r="AR297" s="39"/>
      <c r="AS297" s="39"/>
      <c r="AT297" s="39"/>
      <c r="AU297" s="39"/>
      <c r="AV297" s="39"/>
      <c r="AW297" s="39"/>
      <c r="AX297" s="39"/>
      <c r="AY297" s="39"/>
      <c r="AZ297" s="39"/>
      <c r="BA297" s="39"/>
      <c r="BB297" s="39"/>
      <c r="BC297" s="39"/>
      <c r="BD297" s="39"/>
      <c r="BE297" s="39"/>
      <c r="BF297" s="39"/>
      <c r="BG297" s="39"/>
      <c r="BH297" s="39"/>
      <c r="BI297" s="39"/>
      <c r="BJ297" s="39"/>
      <c r="BK297" s="39"/>
      <c r="BL297" s="39"/>
      <c r="BM297" s="39"/>
    </row>
    <row r="298" spans="1:65" x14ac:dyDescent="0.15">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row>
    <row r="299" spans="1:65" x14ac:dyDescent="0.15">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39"/>
      <c r="AR299" s="39"/>
      <c r="AS299" s="39"/>
      <c r="AT299" s="39"/>
      <c r="AU299" s="39"/>
      <c r="AV299" s="39"/>
      <c r="AW299" s="39"/>
      <c r="AX299" s="39"/>
      <c r="AY299" s="39"/>
      <c r="AZ299" s="39"/>
      <c r="BA299" s="39"/>
      <c r="BB299" s="39"/>
      <c r="BC299" s="39"/>
      <c r="BD299" s="39"/>
      <c r="BE299" s="39"/>
      <c r="BF299" s="39"/>
      <c r="BG299" s="39"/>
      <c r="BH299" s="39"/>
      <c r="BI299" s="39"/>
      <c r="BJ299" s="39"/>
      <c r="BK299" s="39"/>
      <c r="BL299" s="39"/>
      <c r="BM299" s="39"/>
    </row>
    <row r="300" spans="1:65" x14ac:dyDescent="0.15">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9"/>
      <c r="AR300" s="39"/>
      <c r="AS300" s="39"/>
      <c r="AT300" s="39"/>
      <c r="AU300" s="39"/>
      <c r="AV300" s="39"/>
      <c r="AW300" s="39"/>
      <c r="AX300" s="39"/>
      <c r="AY300" s="39"/>
      <c r="AZ300" s="39"/>
      <c r="BA300" s="39"/>
      <c r="BB300" s="39"/>
      <c r="BC300" s="39"/>
      <c r="BD300" s="39"/>
      <c r="BE300" s="39"/>
      <c r="BF300" s="39"/>
      <c r="BG300" s="39"/>
      <c r="BH300" s="39"/>
      <c r="BI300" s="39"/>
      <c r="BJ300" s="39"/>
      <c r="BK300" s="39"/>
      <c r="BL300" s="39"/>
      <c r="BM300" s="39"/>
    </row>
    <row r="301" spans="1:65" x14ac:dyDescent="0.15">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row>
    <row r="302" spans="1:65" x14ac:dyDescent="0.15">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39"/>
      <c r="AR302" s="39"/>
      <c r="AS302" s="39"/>
      <c r="AT302" s="39"/>
      <c r="AU302" s="39"/>
      <c r="AV302" s="39"/>
      <c r="AW302" s="39"/>
      <c r="AX302" s="39"/>
      <c r="AY302" s="39"/>
      <c r="AZ302" s="39"/>
      <c r="BA302" s="39"/>
      <c r="BB302" s="39"/>
      <c r="BC302" s="39"/>
      <c r="BD302" s="39"/>
      <c r="BE302" s="39"/>
      <c r="BF302" s="39"/>
      <c r="BG302" s="39"/>
      <c r="BH302" s="39"/>
      <c r="BI302" s="39"/>
      <c r="BJ302" s="39"/>
      <c r="BK302" s="39"/>
      <c r="BL302" s="39"/>
      <c r="BM302" s="39"/>
    </row>
    <row r="303" spans="1:65" x14ac:dyDescent="0.15">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39"/>
      <c r="AR303" s="39"/>
      <c r="AS303" s="39"/>
      <c r="AT303" s="39"/>
      <c r="AU303" s="39"/>
      <c r="AV303" s="39"/>
      <c r="AW303" s="39"/>
      <c r="AX303" s="39"/>
      <c r="AY303" s="39"/>
      <c r="AZ303" s="39"/>
      <c r="BA303" s="39"/>
      <c r="BB303" s="39"/>
      <c r="BC303" s="39"/>
      <c r="BD303" s="39"/>
      <c r="BE303" s="39"/>
      <c r="BF303" s="39"/>
      <c r="BG303" s="39"/>
      <c r="BH303" s="39"/>
      <c r="BI303" s="39"/>
      <c r="BJ303" s="39"/>
      <c r="BK303" s="39"/>
      <c r="BL303" s="39"/>
      <c r="BM303" s="39"/>
    </row>
    <row r="304" spans="1:65" x14ac:dyDescent="0.15">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c r="BA304" s="39"/>
      <c r="BB304" s="39"/>
      <c r="BC304" s="39"/>
      <c r="BD304" s="39"/>
      <c r="BE304" s="39"/>
      <c r="BF304" s="39"/>
      <c r="BG304" s="39"/>
      <c r="BH304" s="39"/>
      <c r="BI304" s="39"/>
      <c r="BJ304" s="39"/>
      <c r="BK304" s="39"/>
      <c r="BL304" s="39"/>
      <c r="BM304" s="39"/>
    </row>
    <row r="305" spans="1:65" x14ac:dyDescent="0.1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39"/>
      <c r="AR305" s="39"/>
      <c r="AS305" s="39"/>
      <c r="AT305" s="39"/>
      <c r="AU305" s="39"/>
      <c r="AV305" s="39"/>
      <c r="AW305" s="39"/>
      <c r="AX305" s="39"/>
      <c r="AY305" s="39"/>
      <c r="AZ305" s="39"/>
      <c r="BA305" s="39"/>
      <c r="BB305" s="39"/>
      <c r="BC305" s="39"/>
      <c r="BD305" s="39"/>
      <c r="BE305" s="39"/>
      <c r="BF305" s="39"/>
      <c r="BG305" s="39"/>
      <c r="BH305" s="39"/>
      <c r="BI305" s="39"/>
      <c r="BJ305" s="39"/>
      <c r="BK305" s="39"/>
      <c r="BL305" s="39"/>
      <c r="BM305" s="39"/>
    </row>
    <row r="306" spans="1:65" x14ac:dyDescent="0.15">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9"/>
      <c r="AR306" s="39"/>
      <c r="AS306" s="39"/>
      <c r="AT306" s="39"/>
      <c r="AU306" s="39"/>
      <c r="AV306" s="39"/>
      <c r="AW306" s="39"/>
      <c r="AX306" s="39"/>
      <c r="AY306" s="39"/>
      <c r="AZ306" s="39"/>
      <c r="BA306" s="39"/>
      <c r="BB306" s="39"/>
      <c r="BC306" s="39"/>
      <c r="BD306" s="39"/>
      <c r="BE306" s="39"/>
      <c r="BF306" s="39"/>
      <c r="BG306" s="39"/>
      <c r="BH306" s="39"/>
      <c r="BI306" s="39"/>
      <c r="BJ306" s="39"/>
      <c r="BK306" s="39"/>
      <c r="BL306" s="39"/>
      <c r="BM306" s="39"/>
    </row>
    <row r="307" spans="1:65" x14ac:dyDescent="0.15">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row>
    <row r="308" spans="1:65" x14ac:dyDescent="0.15">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c r="AP308" s="39"/>
      <c r="AQ308" s="39"/>
      <c r="AR308" s="39"/>
      <c r="AS308" s="39"/>
      <c r="AT308" s="39"/>
      <c r="AU308" s="39"/>
      <c r="AV308" s="39"/>
      <c r="AW308" s="39"/>
      <c r="AX308" s="39"/>
      <c r="AY308" s="39"/>
      <c r="AZ308" s="39"/>
      <c r="BA308" s="39"/>
      <c r="BB308" s="39"/>
      <c r="BC308" s="39"/>
      <c r="BD308" s="39"/>
      <c r="BE308" s="39"/>
      <c r="BF308" s="39"/>
      <c r="BG308" s="39"/>
      <c r="BH308" s="39"/>
      <c r="BI308" s="39"/>
      <c r="BJ308" s="39"/>
      <c r="BK308" s="39"/>
      <c r="BL308" s="39"/>
      <c r="BM308" s="39"/>
    </row>
    <row r="309" spans="1:65" x14ac:dyDescent="0.15">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c r="AP309" s="39"/>
      <c r="AQ309" s="39"/>
      <c r="AR309" s="39"/>
      <c r="AS309" s="39"/>
      <c r="AT309" s="39"/>
      <c r="AU309" s="39"/>
      <c r="AV309" s="39"/>
      <c r="AW309" s="39"/>
      <c r="AX309" s="39"/>
      <c r="AY309" s="39"/>
      <c r="AZ309" s="39"/>
      <c r="BA309" s="39"/>
      <c r="BB309" s="39"/>
      <c r="BC309" s="39"/>
      <c r="BD309" s="39"/>
      <c r="BE309" s="39"/>
      <c r="BF309" s="39"/>
      <c r="BG309" s="39"/>
      <c r="BH309" s="39"/>
      <c r="BI309" s="39"/>
      <c r="BJ309" s="39"/>
      <c r="BK309" s="39"/>
      <c r="BL309" s="39"/>
      <c r="BM309" s="39"/>
    </row>
    <row r="310" spans="1:65" x14ac:dyDescent="0.15">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c r="AP310" s="39"/>
      <c r="AQ310" s="39"/>
      <c r="AR310" s="39"/>
      <c r="AS310" s="39"/>
      <c r="AT310" s="39"/>
      <c r="AU310" s="39"/>
      <c r="AV310" s="39"/>
      <c r="AW310" s="39"/>
      <c r="AX310" s="39"/>
      <c r="AY310" s="39"/>
      <c r="AZ310" s="39"/>
      <c r="BA310" s="39"/>
      <c r="BB310" s="39"/>
      <c r="BC310" s="39"/>
      <c r="BD310" s="39"/>
      <c r="BE310" s="39"/>
      <c r="BF310" s="39"/>
      <c r="BG310" s="39"/>
      <c r="BH310" s="39"/>
      <c r="BI310" s="39"/>
      <c r="BJ310" s="39"/>
      <c r="BK310" s="39"/>
      <c r="BL310" s="39"/>
      <c r="BM310" s="39"/>
    </row>
    <row r="311" spans="1:65" x14ac:dyDescent="0.15">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39"/>
      <c r="AR311" s="39"/>
      <c r="AS311" s="39"/>
      <c r="AT311" s="39"/>
      <c r="AU311" s="39"/>
      <c r="AV311" s="39"/>
      <c r="AW311" s="39"/>
      <c r="AX311" s="39"/>
      <c r="AY311" s="39"/>
      <c r="AZ311" s="39"/>
      <c r="BA311" s="39"/>
      <c r="BB311" s="39"/>
      <c r="BC311" s="39"/>
      <c r="BD311" s="39"/>
      <c r="BE311" s="39"/>
      <c r="BF311" s="39"/>
      <c r="BG311" s="39"/>
      <c r="BH311" s="39"/>
      <c r="BI311" s="39"/>
      <c r="BJ311" s="39"/>
      <c r="BK311" s="39"/>
      <c r="BL311" s="39"/>
      <c r="BM311" s="39"/>
    </row>
    <row r="312" spans="1:65" x14ac:dyDescent="0.15">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row>
    <row r="313" spans="1:65" x14ac:dyDescent="0.15">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row>
    <row r="314" spans="1:65" x14ac:dyDescent="0.15">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row>
    <row r="315" spans="1:65" x14ac:dyDescent="0.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c r="AP315" s="39"/>
      <c r="AQ315" s="39"/>
      <c r="AR315" s="39"/>
      <c r="AS315" s="39"/>
      <c r="AT315" s="39"/>
      <c r="AU315" s="39"/>
      <c r="AV315" s="39"/>
      <c r="AW315" s="39"/>
      <c r="AX315" s="39"/>
      <c r="AY315" s="39"/>
      <c r="AZ315" s="39"/>
      <c r="BA315" s="39"/>
      <c r="BB315" s="39"/>
      <c r="BC315" s="39"/>
      <c r="BD315" s="39"/>
      <c r="BE315" s="39"/>
      <c r="BF315" s="39"/>
      <c r="BG315" s="39"/>
      <c r="BH315" s="39"/>
      <c r="BI315" s="39"/>
      <c r="BJ315" s="39"/>
      <c r="BK315" s="39"/>
      <c r="BL315" s="39"/>
      <c r="BM315" s="39"/>
    </row>
    <row r="316" spans="1:65" x14ac:dyDescent="0.15">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B316" s="39"/>
      <c r="BC316" s="39"/>
      <c r="BD316" s="39"/>
      <c r="BE316" s="39"/>
      <c r="BF316" s="39"/>
      <c r="BG316" s="39"/>
      <c r="BH316" s="39"/>
      <c r="BI316" s="39"/>
      <c r="BJ316" s="39"/>
      <c r="BK316" s="39"/>
      <c r="BL316" s="39"/>
      <c r="BM316" s="39"/>
    </row>
    <row r="317" spans="1:65" x14ac:dyDescent="0.15">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c r="AP317" s="39"/>
      <c r="AQ317" s="39"/>
      <c r="AR317" s="39"/>
      <c r="AS317" s="39"/>
      <c r="AT317" s="39"/>
      <c r="AU317" s="39"/>
      <c r="AV317" s="39"/>
      <c r="AW317" s="39"/>
      <c r="AX317" s="39"/>
      <c r="AY317" s="39"/>
      <c r="AZ317" s="39"/>
      <c r="BA317" s="39"/>
      <c r="BB317" s="39"/>
      <c r="BC317" s="39"/>
      <c r="BD317" s="39"/>
      <c r="BE317" s="39"/>
      <c r="BF317" s="39"/>
      <c r="BG317" s="39"/>
      <c r="BH317" s="39"/>
      <c r="BI317" s="39"/>
      <c r="BJ317" s="39"/>
      <c r="BK317" s="39"/>
      <c r="BL317" s="39"/>
      <c r="BM317" s="39"/>
    </row>
    <row r="318" spans="1:65" x14ac:dyDescent="0.15">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row>
    <row r="319" spans="1:65" x14ac:dyDescent="0.15">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c r="AP319" s="39"/>
      <c r="AQ319" s="39"/>
      <c r="AR319" s="39"/>
      <c r="AS319" s="39"/>
      <c r="AT319" s="39"/>
      <c r="AU319" s="39"/>
      <c r="AV319" s="39"/>
      <c r="AW319" s="39"/>
      <c r="AX319" s="39"/>
      <c r="AY319" s="39"/>
      <c r="AZ319" s="39"/>
      <c r="BA319" s="39"/>
      <c r="BB319" s="39"/>
      <c r="BC319" s="39"/>
      <c r="BD319" s="39"/>
      <c r="BE319" s="39"/>
      <c r="BF319" s="39"/>
      <c r="BG319" s="39"/>
      <c r="BH319" s="39"/>
      <c r="BI319" s="39"/>
      <c r="BJ319" s="39"/>
      <c r="BK319" s="39"/>
      <c r="BL319" s="39"/>
      <c r="BM319" s="39"/>
    </row>
    <row r="320" spans="1:65" x14ac:dyDescent="0.15">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row>
    <row r="321" spans="1:65" x14ac:dyDescent="0.15">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c r="AP321" s="39"/>
      <c r="AQ321" s="39"/>
      <c r="AR321" s="39"/>
      <c r="AS321" s="39"/>
      <c r="AT321" s="39"/>
      <c r="AU321" s="39"/>
      <c r="AV321" s="39"/>
      <c r="AW321" s="39"/>
      <c r="AX321" s="39"/>
      <c r="AY321" s="39"/>
      <c r="AZ321" s="39"/>
      <c r="BA321" s="39"/>
      <c r="BB321" s="39"/>
      <c r="BC321" s="39"/>
      <c r="BD321" s="39"/>
      <c r="BE321" s="39"/>
      <c r="BF321" s="39"/>
      <c r="BG321" s="39"/>
      <c r="BH321" s="39"/>
      <c r="BI321" s="39"/>
      <c r="BJ321" s="39"/>
      <c r="BK321" s="39"/>
      <c r="BL321" s="39"/>
      <c r="BM321" s="39"/>
    </row>
    <row r="322" spans="1:65" x14ac:dyDescent="0.15">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row>
    <row r="323" spans="1:65" x14ac:dyDescent="0.15">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B323" s="39"/>
      <c r="BC323" s="39"/>
      <c r="BD323" s="39"/>
      <c r="BE323" s="39"/>
      <c r="BF323" s="39"/>
      <c r="BG323" s="39"/>
      <c r="BH323" s="39"/>
      <c r="BI323" s="39"/>
      <c r="BJ323" s="39"/>
      <c r="BK323" s="39"/>
      <c r="BL323" s="39"/>
      <c r="BM323" s="39"/>
    </row>
    <row r="324" spans="1:65" x14ac:dyDescent="0.15">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c r="AP324" s="39"/>
      <c r="AQ324" s="39"/>
      <c r="AR324" s="39"/>
      <c r="AS324" s="39"/>
      <c r="AT324" s="39"/>
      <c r="AU324" s="39"/>
      <c r="AV324" s="39"/>
      <c r="AW324" s="39"/>
      <c r="AX324" s="39"/>
      <c r="AY324" s="39"/>
      <c r="AZ324" s="39"/>
      <c r="BA324" s="39"/>
      <c r="BB324" s="39"/>
      <c r="BC324" s="39"/>
      <c r="BD324" s="39"/>
      <c r="BE324" s="39"/>
      <c r="BF324" s="39"/>
      <c r="BG324" s="39"/>
      <c r="BH324" s="39"/>
      <c r="BI324" s="39"/>
      <c r="BJ324" s="39"/>
      <c r="BK324" s="39"/>
      <c r="BL324" s="39"/>
      <c r="BM324" s="39"/>
    </row>
    <row r="325" spans="1:65" x14ac:dyDescent="0.1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c r="AP325" s="39"/>
      <c r="AQ325" s="39"/>
      <c r="AR325" s="39"/>
      <c r="AS325" s="39"/>
      <c r="AT325" s="39"/>
      <c r="AU325" s="39"/>
      <c r="AV325" s="39"/>
      <c r="AW325" s="39"/>
      <c r="AX325" s="39"/>
      <c r="AY325" s="39"/>
      <c r="AZ325" s="39"/>
      <c r="BA325" s="39"/>
      <c r="BB325" s="39"/>
      <c r="BC325" s="39"/>
      <c r="BD325" s="39"/>
      <c r="BE325" s="39"/>
      <c r="BF325" s="39"/>
      <c r="BG325" s="39"/>
      <c r="BH325" s="39"/>
      <c r="BI325" s="39"/>
      <c r="BJ325" s="39"/>
      <c r="BK325" s="39"/>
      <c r="BL325" s="39"/>
      <c r="BM325" s="39"/>
    </row>
    <row r="326" spans="1:65" x14ac:dyDescent="0.15">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c r="AP326" s="39"/>
      <c r="AQ326" s="39"/>
      <c r="AR326" s="39"/>
      <c r="AS326" s="39"/>
      <c r="AT326" s="39"/>
      <c r="AU326" s="39"/>
      <c r="AV326" s="39"/>
      <c r="AW326" s="39"/>
      <c r="AX326" s="39"/>
      <c r="AY326" s="39"/>
      <c r="AZ326" s="39"/>
      <c r="BA326" s="39"/>
      <c r="BB326" s="39"/>
      <c r="BC326" s="39"/>
      <c r="BD326" s="39"/>
      <c r="BE326" s="39"/>
      <c r="BF326" s="39"/>
      <c r="BG326" s="39"/>
      <c r="BH326" s="39"/>
      <c r="BI326" s="39"/>
      <c r="BJ326" s="39"/>
      <c r="BK326" s="39"/>
      <c r="BL326" s="39"/>
      <c r="BM326" s="39"/>
    </row>
    <row r="327" spans="1:65" x14ac:dyDescent="0.15">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c r="AP327" s="39"/>
      <c r="AQ327" s="39"/>
      <c r="AR327" s="39"/>
      <c r="AS327" s="39"/>
      <c r="AT327" s="39"/>
      <c r="AU327" s="39"/>
      <c r="AV327" s="39"/>
      <c r="AW327" s="39"/>
      <c r="AX327" s="39"/>
      <c r="AY327" s="39"/>
      <c r="AZ327" s="39"/>
      <c r="BA327" s="39"/>
      <c r="BB327" s="39"/>
      <c r="BC327" s="39"/>
      <c r="BD327" s="39"/>
      <c r="BE327" s="39"/>
      <c r="BF327" s="39"/>
      <c r="BG327" s="39"/>
      <c r="BH327" s="39"/>
      <c r="BI327" s="39"/>
      <c r="BJ327" s="39"/>
      <c r="BK327" s="39"/>
      <c r="BL327" s="39"/>
      <c r="BM327" s="39"/>
    </row>
    <row r="328" spans="1:65" x14ac:dyDescent="0.15">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c r="AP328" s="39"/>
      <c r="AQ328" s="39"/>
      <c r="AR328" s="39"/>
      <c r="AS328" s="39"/>
      <c r="AT328" s="39"/>
      <c r="AU328" s="39"/>
      <c r="AV328" s="39"/>
      <c r="AW328" s="39"/>
      <c r="AX328" s="39"/>
      <c r="AY328" s="39"/>
      <c r="AZ328" s="39"/>
      <c r="BA328" s="39"/>
      <c r="BB328" s="39"/>
      <c r="BC328" s="39"/>
      <c r="BD328" s="39"/>
      <c r="BE328" s="39"/>
      <c r="BF328" s="39"/>
      <c r="BG328" s="39"/>
      <c r="BH328" s="39"/>
      <c r="BI328" s="39"/>
      <c r="BJ328" s="39"/>
      <c r="BK328" s="39"/>
      <c r="BL328" s="39"/>
      <c r="BM328" s="39"/>
    </row>
    <row r="329" spans="1:65" x14ac:dyDescent="0.15">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c r="AP329" s="39"/>
      <c r="AQ329" s="39"/>
      <c r="AR329" s="39"/>
      <c r="AS329" s="39"/>
      <c r="AT329" s="39"/>
      <c r="AU329" s="39"/>
      <c r="AV329" s="39"/>
      <c r="AW329" s="39"/>
      <c r="AX329" s="39"/>
      <c r="AY329" s="39"/>
      <c r="AZ329" s="39"/>
      <c r="BA329" s="39"/>
      <c r="BB329" s="39"/>
      <c r="BC329" s="39"/>
      <c r="BD329" s="39"/>
      <c r="BE329" s="39"/>
      <c r="BF329" s="39"/>
      <c r="BG329" s="39"/>
      <c r="BH329" s="39"/>
      <c r="BI329" s="39"/>
      <c r="BJ329" s="39"/>
      <c r="BK329" s="39"/>
      <c r="BL329" s="39"/>
      <c r="BM329" s="39"/>
    </row>
    <row r="330" spans="1:65" x14ac:dyDescent="0.15">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c r="AP330" s="39"/>
      <c r="AQ330" s="39"/>
      <c r="AR330" s="39"/>
      <c r="AS330" s="39"/>
      <c r="AT330" s="39"/>
      <c r="AU330" s="39"/>
      <c r="AV330" s="39"/>
      <c r="AW330" s="39"/>
      <c r="AX330" s="39"/>
      <c r="AY330" s="39"/>
      <c r="AZ330" s="39"/>
      <c r="BA330" s="39"/>
      <c r="BB330" s="39"/>
      <c r="BC330" s="39"/>
      <c r="BD330" s="39"/>
      <c r="BE330" s="39"/>
      <c r="BF330" s="39"/>
      <c r="BG330" s="39"/>
      <c r="BH330" s="39"/>
      <c r="BI330" s="39"/>
      <c r="BJ330" s="39"/>
      <c r="BK330" s="39"/>
      <c r="BL330" s="39"/>
      <c r="BM330" s="39"/>
    </row>
    <row r="331" spans="1:65" x14ac:dyDescent="0.15">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c r="AP331" s="39"/>
      <c r="AQ331" s="39"/>
      <c r="AR331" s="39"/>
      <c r="AS331" s="39"/>
      <c r="AT331" s="39"/>
      <c r="AU331" s="39"/>
      <c r="AV331" s="39"/>
      <c r="AW331" s="39"/>
      <c r="AX331" s="39"/>
      <c r="AY331" s="39"/>
      <c r="AZ331" s="39"/>
      <c r="BA331" s="39"/>
      <c r="BB331" s="39"/>
      <c r="BC331" s="39"/>
      <c r="BD331" s="39"/>
      <c r="BE331" s="39"/>
      <c r="BF331" s="39"/>
      <c r="BG331" s="39"/>
      <c r="BH331" s="39"/>
      <c r="BI331" s="39"/>
      <c r="BJ331" s="39"/>
      <c r="BK331" s="39"/>
      <c r="BL331" s="39"/>
      <c r="BM331" s="39"/>
    </row>
    <row r="332" spans="1:65" x14ac:dyDescent="0.15">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c r="AP332" s="39"/>
      <c r="AQ332" s="39"/>
      <c r="AR332" s="39"/>
      <c r="AS332" s="39"/>
      <c r="AT332" s="39"/>
      <c r="AU332" s="39"/>
      <c r="AV332" s="39"/>
      <c r="AW332" s="39"/>
      <c r="AX332" s="39"/>
      <c r="AY332" s="39"/>
      <c r="AZ332" s="39"/>
      <c r="BA332" s="39"/>
      <c r="BB332" s="39"/>
      <c r="BC332" s="39"/>
      <c r="BD332" s="39"/>
      <c r="BE332" s="39"/>
      <c r="BF332" s="39"/>
      <c r="BG332" s="39"/>
      <c r="BH332" s="39"/>
      <c r="BI332" s="39"/>
      <c r="BJ332" s="39"/>
      <c r="BK332" s="39"/>
      <c r="BL332" s="39"/>
      <c r="BM332" s="39"/>
    </row>
    <row r="333" spans="1:65" x14ac:dyDescent="0.15">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c r="AP333" s="39"/>
      <c r="AQ333" s="39"/>
      <c r="AR333" s="39"/>
      <c r="AS333" s="39"/>
      <c r="AT333" s="39"/>
      <c r="AU333" s="39"/>
      <c r="AV333" s="39"/>
      <c r="AW333" s="39"/>
      <c r="AX333" s="39"/>
      <c r="AY333" s="39"/>
      <c r="AZ333" s="39"/>
      <c r="BA333" s="39"/>
      <c r="BB333" s="39"/>
      <c r="BC333" s="39"/>
      <c r="BD333" s="39"/>
      <c r="BE333" s="39"/>
      <c r="BF333" s="39"/>
      <c r="BG333" s="39"/>
      <c r="BH333" s="39"/>
      <c r="BI333" s="39"/>
      <c r="BJ333" s="39"/>
      <c r="BK333" s="39"/>
      <c r="BL333" s="39"/>
      <c r="BM333" s="39"/>
    </row>
    <row r="334" spans="1:65" x14ac:dyDescent="0.15">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B334" s="39"/>
      <c r="BC334" s="39"/>
      <c r="BD334" s="39"/>
      <c r="BE334" s="39"/>
      <c r="BF334" s="39"/>
      <c r="BG334" s="39"/>
      <c r="BH334" s="39"/>
      <c r="BI334" s="39"/>
      <c r="BJ334" s="39"/>
      <c r="BK334" s="39"/>
      <c r="BL334" s="39"/>
      <c r="BM334" s="39"/>
    </row>
    <row r="335" spans="1:65" x14ac:dyDescent="0.1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c r="AP335" s="39"/>
      <c r="AQ335" s="39"/>
      <c r="AR335" s="39"/>
      <c r="AS335" s="39"/>
      <c r="AT335" s="39"/>
      <c r="AU335" s="39"/>
      <c r="AV335" s="39"/>
      <c r="AW335" s="39"/>
      <c r="AX335" s="39"/>
      <c r="AY335" s="39"/>
      <c r="AZ335" s="39"/>
      <c r="BA335" s="39"/>
      <c r="BB335" s="39"/>
      <c r="BC335" s="39"/>
      <c r="BD335" s="39"/>
      <c r="BE335" s="39"/>
      <c r="BF335" s="39"/>
      <c r="BG335" s="39"/>
      <c r="BH335" s="39"/>
      <c r="BI335" s="39"/>
      <c r="BJ335" s="39"/>
      <c r="BK335" s="39"/>
      <c r="BL335" s="39"/>
      <c r="BM335" s="39"/>
    </row>
    <row r="336" spans="1:65" x14ac:dyDescent="0.15">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c r="AP336" s="39"/>
      <c r="AQ336" s="39"/>
      <c r="AR336" s="39"/>
      <c r="AS336" s="39"/>
      <c r="AT336" s="39"/>
      <c r="AU336" s="39"/>
      <c r="AV336" s="39"/>
      <c r="AW336" s="39"/>
      <c r="AX336" s="39"/>
      <c r="AY336" s="39"/>
      <c r="AZ336" s="39"/>
      <c r="BA336" s="39"/>
      <c r="BB336" s="39"/>
      <c r="BC336" s="39"/>
      <c r="BD336" s="39"/>
      <c r="BE336" s="39"/>
      <c r="BF336" s="39"/>
      <c r="BG336" s="39"/>
      <c r="BH336" s="39"/>
      <c r="BI336" s="39"/>
      <c r="BJ336" s="39"/>
      <c r="BK336" s="39"/>
      <c r="BL336" s="39"/>
      <c r="BM336" s="39"/>
    </row>
    <row r="337" spans="1:65" x14ac:dyDescent="0.15">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c r="AP337" s="39"/>
      <c r="AQ337" s="39"/>
      <c r="AR337" s="39"/>
      <c r="AS337" s="39"/>
      <c r="AT337" s="39"/>
      <c r="AU337" s="39"/>
      <c r="AV337" s="39"/>
      <c r="AW337" s="39"/>
      <c r="AX337" s="39"/>
      <c r="AY337" s="39"/>
      <c r="AZ337" s="39"/>
      <c r="BA337" s="39"/>
      <c r="BB337" s="39"/>
      <c r="BC337" s="39"/>
      <c r="BD337" s="39"/>
      <c r="BE337" s="39"/>
      <c r="BF337" s="39"/>
      <c r="BG337" s="39"/>
      <c r="BH337" s="39"/>
      <c r="BI337" s="39"/>
      <c r="BJ337" s="39"/>
      <c r="BK337" s="39"/>
      <c r="BL337" s="39"/>
      <c r="BM337" s="39"/>
    </row>
    <row r="338" spans="1:65" x14ac:dyDescent="0.15">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c r="AN338" s="39"/>
      <c r="AO338" s="39"/>
      <c r="AP338" s="39"/>
      <c r="AQ338" s="39"/>
      <c r="AR338" s="39"/>
      <c r="AS338" s="39"/>
      <c r="AT338" s="39"/>
      <c r="AU338" s="39"/>
      <c r="AV338" s="39"/>
      <c r="AW338" s="39"/>
      <c r="AX338" s="39"/>
      <c r="AY338" s="39"/>
      <c r="AZ338" s="39"/>
      <c r="BA338" s="39"/>
      <c r="BB338" s="39"/>
      <c r="BC338" s="39"/>
      <c r="BD338" s="39"/>
      <c r="BE338" s="39"/>
      <c r="BF338" s="39"/>
      <c r="BG338" s="39"/>
      <c r="BH338" s="39"/>
      <c r="BI338" s="39"/>
      <c r="BJ338" s="39"/>
      <c r="BK338" s="39"/>
      <c r="BL338" s="39"/>
      <c r="BM338" s="39"/>
    </row>
    <row r="339" spans="1:65" x14ac:dyDescent="0.15">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c r="AP339" s="39"/>
      <c r="AQ339" s="39"/>
      <c r="AR339" s="39"/>
      <c r="AS339" s="39"/>
      <c r="AT339" s="39"/>
      <c r="AU339" s="39"/>
      <c r="AV339" s="39"/>
      <c r="AW339" s="39"/>
      <c r="AX339" s="39"/>
      <c r="AY339" s="39"/>
      <c r="AZ339" s="39"/>
      <c r="BA339" s="39"/>
      <c r="BB339" s="39"/>
      <c r="BC339" s="39"/>
      <c r="BD339" s="39"/>
      <c r="BE339" s="39"/>
      <c r="BF339" s="39"/>
      <c r="BG339" s="39"/>
      <c r="BH339" s="39"/>
      <c r="BI339" s="39"/>
      <c r="BJ339" s="39"/>
      <c r="BK339" s="39"/>
      <c r="BL339" s="39"/>
      <c r="BM339" s="39"/>
    </row>
    <row r="340" spans="1:65" x14ac:dyDescent="0.15">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c r="AM340" s="39"/>
      <c r="AN340" s="39"/>
      <c r="AO340" s="39"/>
      <c r="AP340" s="39"/>
      <c r="AQ340" s="39"/>
      <c r="AR340" s="39"/>
      <c r="AS340" s="39"/>
      <c r="AT340" s="39"/>
      <c r="AU340" s="39"/>
      <c r="AV340" s="39"/>
      <c r="AW340" s="39"/>
      <c r="AX340" s="39"/>
      <c r="AY340" s="39"/>
      <c r="AZ340" s="39"/>
      <c r="BA340" s="39"/>
      <c r="BB340" s="39"/>
      <c r="BC340" s="39"/>
      <c r="BD340" s="39"/>
      <c r="BE340" s="39"/>
      <c r="BF340" s="39"/>
      <c r="BG340" s="39"/>
      <c r="BH340" s="39"/>
      <c r="BI340" s="39"/>
      <c r="BJ340" s="39"/>
      <c r="BK340" s="39"/>
      <c r="BL340" s="39"/>
      <c r="BM340" s="39"/>
    </row>
    <row r="341" spans="1:65" x14ac:dyDescent="0.15">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c r="AN341" s="39"/>
      <c r="AO341" s="39"/>
      <c r="AP341" s="39"/>
      <c r="AQ341" s="39"/>
      <c r="AR341" s="39"/>
      <c r="AS341" s="39"/>
      <c r="AT341" s="39"/>
      <c r="AU341" s="39"/>
      <c r="AV341" s="39"/>
      <c r="AW341" s="39"/>
      <c r="AX341" s="39"/>
      <c r="AY341" s="39"/>
      <c r="AZ341" s="39"/>
      <c r="BA341" s="39"/>
      <c r="BB341" s="39"/>
      <c r="BC341" s="39"/>
      <c r="BD341" s="39"/>
      <c r="BE341" s="39"/>
      <c r="BF341" s="39"/>
      <c r="BG341" s="39"/>
      <c r="BH341" s="39"/>
      <c r="BI341" s="39"/>
      <c r="BJ341" s="39"/>
      <c r="BK341" s="39"/>
      <c r="BL341" s="39"/>
      <c r="BM341" s="39"/>
    </row>
    <row r="342" spans="1:65" x14ac:dyDescent="0.15">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B342" s="39"/>
      <c r="BC342" s="39"/>
      <c r="BD342" s="39"/>
      <c r="BE342" s="39"/>
      <c r="BF342" s="39"/>
      <c r="BG342" s="39"/>
      <c r="BH342" s="39"/>
      <c r="BI342" s="39"/>
      <c r="BJ342" s="39"/>
      <c r="BK342" s="39"/>
      <c r="BL342" s="39"/>
      <c r="BM342" s="39"/>
    </row>
    <row r="343" spans="1:65" x14ac:dyDescent="0.15">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c r="AP343" s="39"/>
      <c r="AQ343" s="39"/>
      <c r="AR343" s="39"/>
      <c r="AS343" s="39"/>
      <c r="AT343" s="39"/>
      <c r="AU343" s="39"/>
      <c r="AV343" s="39"/>
      <c r="AW343" s="39"/>
      <c r="AX343" s="39"/>
      <c r="AY343" s="39"/>
      <c r="AZ343" s="39"/>
      <c r="BA343" s="39"/>
      <c r="BB343" s="39"/>
      <c r="BC343" s="39"/>
      <c r="BD343" s="39"/>
      <c r="BE343" s="39"/>
      <c r="BF343" s="39"/>
      <c r="BG343" s="39"/>
      <c r="BH343" s="39"/>
      <c r="BI343" s="39"/>
      <c r="BJ343" s="39"/>
      <c r="BK343" s="39"/>
      <c r="BL343" s="39"/>
      <c r="BM343" s="39"/>
    </row>
    <row r="344" spans="1:65" x14ac:dyDescent="0.15">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c r="AP344" s="39"/>
      <c r="AQ344" s="39"/>
      <c r="AR344" s="39"/>
      <c r="AS344" s="39"/>
      <c r="AT344" s="39"/>
      <c r="AU344" s="39"/>
      <c r="AV344" s="39"/>
      <c r="AW344" s="39"/>
      <c r="AX344" s="39"/>
      <c r="AY344" s="39"/>
      <c r="AZ344" s="39"/>
      <c r="BA344" s="39"/>
      <c r="BB344" s="39"/>
      <c r="BC344" s="39"/>
      <c r="BD344" s="39"/>
      <c r="BE344" s="39"/>
      <c r="BF344" s="39"/>
      <c r="BG344" s="39"/>
      <c r="BH344" s="39"/>
      <c r="BI344" s="39"/>
      <c r="BJ344" s="39"/>
      <c r="BK344" s="39"/>
      <c r="BL344" s="39"/>
      <c r="BM344" s="39"/>
    </row>
    <row r="345" spans="1:65" x14ac:dyDescent="0.1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c r="AP345" s="39"/>
      <c r="AQ345" s="39"/>
      <c r="AR345" s="39"/>
      <c r="AS345" s="39"/>
      <c r="AT345" s="39"/>
      <c r="AU345" s="39"/>
      <c r="AV345" s="39"/>
      <c r="AW345" s="39"/>
      <c r="AX345" s="39"/>
      <c r="AY345" s="39"/>
      <c r="AZ345" s="39"/>
      <c r="BA345" s="39"/>
      <c r="BB345" s="39"/>
      <c r="BC345" s="39"/>
      <c r="BD345" s="39"/>
      <c r="BE345" s="39"/>
      <c r="BF345" s="39"/>
      <c r="BG345" s="39"/>
      <c r="BH345" s="39"/>
      <c r="BI345" s="39"/>
      <c r="BJ345" s="39"/>
      <c r="BK345" s="39"/>
      <c r="BL345" s="39"/>
      <c r="BM345" s="39"/>
    </row>
    <row r="346" spans="1:65" x14ac:dyDescent="0.15">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c r="AN346" s="39"/>
      <c r="AO346" s="39"/>
      <c r="AP346" s="39"/>
      <c r="AQ346" s="39"/>
      <c r="AR346" s="39"/>
      <c r="AS346" s="39"/>
      <c r="AT346" s="39"/>
      <c r="AU346" s="39"/>
      <c r="AV346" s="39"/>
      <c r="AW346" s="39"/>
      <c r="AX346" s="39"/>
      <c r="AY346" s="39"/>
      <c r="AZ346" s="39"/>
      <c r="BA346" s="39"/>
      <c r="BB346" s="39"/>
      <c r="BC346" s="39"/>
      <c r="BD346" s="39"/>
      <c r="BE346" s="39"/>
      <c r="BF346" s="39"/>
      <c r="BG346" s="39"/>
      <c r="BH346" s="39"/>
      <c r="BI346" s="39"/>
      <c r="BJ346" s="39"/>
      <c r="BK346" s="39"/>
      <c r="BL346" s="39"/>
      <c r="BM346" s="39"/>
    </row>
    <row r="347" spans="1:65" x14ac:dyDescent="0.15">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c r="AN347" s="39"/>
      <c r="AO347" s="39"/>
      <c r="AP347" s="39"/>
      <c r="AQ347" s="39"/>
      <c r="AR347" s="39"/>
      <c r="AS347" s="39"/>
      <c r="AT347" s="39"/>
      <c r="AU347" s="39"/>
      <c r="AV347" s="39"/>
      <c r="AW347" s="39"/>
      <c r="AX347" s="39"/>
      <c r="AY347" s="39"/>
      <c r="AZ347" s="39"/>
      <c r="BA347" s="39"/>
      <c r="BB347" s="39"/>
      <c r="BC347" s="39"/>
      <c r="BD347" s="39"/>
      <c r="BE347" s="39"/>
      <c r="BF347" s="39"/>
      <c r="BG347" s="39"/>
      <c r="BH347" s="39"/>
      <c r="BI347" s="39"/>
      <c r="BJ347" s="39"/>
      <c r="BK347" s="39"/>
      <c r="BL347" s="39"/>
      <c r="BM347" s="39"/>
    </row>
    <row r="348" spans="1:65" x14ac:dyDescent="0.15">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c r="AN348" s="39"/>
      <c r="AO348" s="39"/>
      <c r="AP348" s="39"/>
      <c r="AQ348" s="39"/>
      <c r="AR348" s="39"/>
      <c r="AS348" s="39"/>
      <c r="AT348" s="39"/>
      <c r="AU348" s="39"/>
      <c r="AV348" s="39"/>
      <c r="AW348" s="39"/>
      <c r="AX348" s="39"/>
      <c r="AY348" s="39"/>
      <c r="AZ348" s="39"/>
      <c r="BA348" s="39"/>
      <c r="BB348" s="39"/>
      <c r="BC348" s="39"/>
      <c r="BD348" s="39"/>
      <c r="BE348" s="39"/>
      <c r="BF348" s="39"/>
      <c r="BG348" s="39"/>
      <c r="BH348" s="39"/>
      <c r="BI348" s="39"/>
      <c r="BJ348" s="39"/>
      <c r="BK348" s="39"/>
      <c r="BL348" s="39"/>
      <c r="BM348" s="39"/>
    </row>
    <row r="349" spans="1:65" x14ac:dyDescent="0.15">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c r="AN349" s="39"/>
      <c r="AO349" s="39"/>
      <c r="AP349" s="39"/>
      <c r="AQ349" s="39"/>
      <c r="AR349" s="39"/>
      <c r="AS349" s="39"/>
      <c r="AT349" s="39"/>
      <c r="AU349" s="39"/>
      <c r="AV349" s="39"/>
      <c r="AW349" s="39"/>
      <c r="AX349" s="39"/>
      <c r="AY349" s="39"/>
      <c r="AZ349" s="39"/>
      <c r="BA349" s="39"/>
      <c r="BB349" s="39"/>
      <c r="BC349" s="39"/>
      <c r="BD349" s="39"/>
      <c r="BE349" s="39"/>
      <c r="BF349" s="39"/>
      <c r="BG349" s="39"/>
      <c r="BH349" s="39"/>
      <c r="BI349" s="39"/>
      <c r="BJ349" s="39"/>
      <c r="BK349" s="39"/>
      <c r="BL349" s="39"/>
      <c r="BM349" s="39"/>
    </row>
    <row r="350" spans="1:65" x14ac:dyDescent="0.15">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c r="BC350" s="39"/>
      <c r="BD350" s="39"/>
      <c r="BE350" s="39"/>
      <c r="BF350" s="39"/>
      <c r="BG350" s="39"/>
      <c r="BH350" s="39"/>
      <c r="BI350" s="39"/>
      <c r="BJ350" s="39"/>
      <c r="BK350" s="39"/>
      <c r="BL350" s="39"/>
      <c r="BM350" s="39"/>
    </row>
    <row r="351" spans="1:65" x14ac:dyDescent="0.15">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39"/>
      <c r="AR351" s="39"/>
      <c r="AS351" s="39"/>
      <c r="AT351" s="39"/>
      <c r="AU351" s="39"/>
      <c r="AV351" s="39"/>
      <c r="AW351" s="39"/>
      <c r="AX351" s="39"/>
      <c r="AY351" s="39"/>
      <c r="AZ351" s="39"/>
      <c r="BA351" s="39"/>
      <c r="BB351" s="39"/>
      <c r="BC351" s="39"/>
      <c r="BD351" s="39"/>
      <c r="BE351" s="39"/>
      <c r="BF351" s="39"/>
      <c r="BG351" s="39"/>
      <c r="BH351" s="39"/>
      <c r="BI351" s="39"/>
      <c r="BJ351" s="39"/>
      <c r="BK351" s="39"/>
      <c r="BL351" s="39"/>
      <c r="BM351" s="39"/>
    </row>
    <row r="352" spans="1:65" x14ac:dyDescent="0.15">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row>
    <row r="353" spans="1:65" x14ac:dyDescent="0.15">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c r="AM353" s="39"/>
      <c r="AN353" s="39"/>
      <c r="AO353" s="39"/>
      <c r="AP353" s="39"/>
      <c r="AQ353" s="39"/>
      <c r="AR353" s="39"/>
      <c r="AS353" s="39"/>
      <c r="AT353" s="39"/>
      <c r="AU353" s="39"/>
      <c r="AV353" s="39"/>
      <c r="AW353" s="39"/>
      <c r="AX353" s="39"/>
      <c r="AY353" s="39"/>
      <c r="AZ353" s="39"/>
      <c r="BA353" s="39"/>
      <c r="BB353" s="39"/>
      <c r="BC353" s="39"/>
      <c r="BD353" s="39"/>
      <c r="BE353" s="39"/>
      <c r="BF353" s="39"/>
      <c r="BG353" s="39"/>
      <c r="BH353" s="39"/>
      <c r="BI353" s="39"/>
      <c r="BJ353" s="39"/>
      <c r="BK353" s="39"/>
      <c r="BL353" s="39"/>
      <c r="BM353" s="39"/>
    </row>
    <row r="354" spans="1:65" x14ac:dyDescent="0.15">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c r="AM354" s="39"/>
      <c r="AN354" s="39"/>
      <c r="AO354" s="39"/>
      <c r="AP354" s="39"/>
      <c r="AQ354" s="39"/>
      <c r="AR354" s="39"/>
      <c r="AS354" s="39"/>
      <c r="AT354" s="39"/>
      <c r="AU354" s="39"/>
      <c r="AV354" s="39"/>
      <c r="AW354" s="39"/>
      <c r="AX354" s="39"/>
      <c r="AY354" s="39"/>
      <c r="AZ354" s="39"/>
      <c r="BA354" s="39"/>
      <c r="BB354" s="39"/>
      <c r="BC354" s="39"/>
      <c r="BD354" s="39"/>
      <c r="BE354" s="39"/>
      <c r="BF354" s="39"/>
      <c r="BG354" s="39"/>
      <c r="BH354" s="39"/>
      <c r="BI354" s="39"/>
      <c r="BJ354" s="39"/>
      <c r="BK354" s="39"/>
      <c r="BL354" s="39"/>
      <c r="BM354" s="39"/>
    </row>
    <row r="355" spans="1:65" x14ac:dyDescent="0.1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c r="AM355" s="39"/>
      <c r="AN355" s="39"/>
      <c r="AO355" s="39"/>
      <c r="AP355" s="39"/>
      <c r="AQ355" s="39"/>
      <c r="AR355" s="39"/>
      <c r="AS355" s="39"/>
      <c r="AT355" s="39"/>
      <c r="AU355" s="39"/>
      <c r="AV355" s="39"/>
      <c r="AW355" s="39"/>
      <c r="AX355" s="39"/>
      <c r="AY355" s="39"/>
      <c r="AZ355" s="39"/>
      <c r="BA355" s="39"/>
      <c r="BB355" s="39"/>
      <c r="BC355" s="39"/>
      <c r="BD355" s="39"/>
      <c r="BE355" s="39"/>
      <c r="BF355" s="39"/>
      <c r="BG355" s="39"/>
      <c r="BH355" s="39"/>
      <c r="BI355" s="39"/>
      <c r="BJ355" s="39"/>
      <c r="BK355" s="39"/>
      <c r="BL355" s="39"/>
      <c r="BM355" s="39"/>
    </row>
    <row r="356" spans="1:65" x14ac:dyDescent="0.15">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c r="BC356" s="39"/>
      <c r="BD356" s="39"/>
      <c r="BE356" s="39"/>
      <c r="BF356" s="39"/>
      <c r="BG356" s="39"/>
      <c r="BH356" s="39"/>
      <c r="BI356" s="39"/>
      <c r="BJ356" s="39"/>
      <c r="BK356" s="39"/>
      <c r="BL356" s="39"/>
      <c r="BM356" s="39"/>
    </row>
    <row r="357" spans="1:65" x14ac:dyDescent="0.15">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c r="AR357" s="39"/>
      <c r="AS357" s="39"/>
      <c r="AT357" s="39"/>
      <c r="AU357" s="39"/>
      <c r="AV357" s="39"/>
      <c r="AW357" s="39"/>
      <c r="AX357" s="39"/>
      <c r="AY357" s="39"/>
      <c r="AZ357" s="39"/>
      <c r="BA357" s="39"/>
      <c r="BB357" s="39"/>
      <c r="BC357" s="39"/>
      <c r="BD357" s="39"/>
      <c r="BE357" s="39"/>
      <c r="BF357" s="39"/>
      <c r="BG357" s="39"/>
      <c r="BH357" s="39"/>
      <c r="BI357" s="39"/>
      <c r="BJ357" s="39"/>
      <c r="BK357" s="39"/>
      <c r="BL357" s="39"/>
      <c r="BM357" s="39"/>
    </row>
    <row r="358" spans="1:65" x14ac:dyDescent="0.15">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row>
    <row r="359" spans="1:65" x14ac:dyDescent="0.15">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c r="AP359" s="39"/>
      <c r="AQ359" s="39"/>
      <c r="AR359" s="39"/>
      <c r="AS359" s="39"/>
      <c r="AT359" s="39"/>
      <c r="AU359" s="39"/>
      <c r="AV359" s="39"/>
      <c r="AW359" s="39"/>
      <c r="AX359" s="39"/>
      <c r="AY359" s="39"/>
      <c r="AZ359" s="39"/>
      <c r="BA359" s="39"/>
      <c r="BB359" s="39"/>
      <c r="BC359" s="39"/>
      <c r="BD359" s="39"/>
      <c r="BE359" s="39"/>
      <c r="BF359" s="39"/>
      <c r="BG359" s="39"/>
      <c r="BH359" s="39"/>
      <c r="BI359" s="39"/>
      <c r="BJ359" s="39"/>
      <c r="BK359" s="39"/>
      <c r="BL359" s="39"/>
      <c r="BM359" s="39"/>
    </row>
    <row r="360" spans="1:65" x14ac:dyDescent="0.15">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c r="AM360" s="39"/>
      <c r="AN360" s="39"/>
      <c r="AO360" s="39"/>
      <c r="AP360" s="39"/>
      <c r="AQ360" s="39"/>
      <c r="AR360" s="39"/>
      <c r="AS360" s="39"/>
      <c r="AT360" s="39"/>
      <c r="AU360" s="39"/>
      <c r="AV360" s="39"/>
      <c r="AW360" s="39"/>
      <c r="AX360" s="39"/>
      <c r="AY360" s="39"/>
      <c r="AZ360" s="39"/>
      <c r="BA360" s="39"/>
      <c r="BB360" s="39"/>
      <c r="BC360" s="39"/>
      <c r="BD360" s="39"/>
      <c r="BE360" s="39"/>
      <c r="BF360" s="39"/>
      <c r="BG360" s="39"/>
      <c r="BH360" s="39"/>
      <c r="BI360" s="39"/>
      <c r="BJ360" s="39"/>
      <c r="BK360" s="39"/>
      <c r="BL360" s="39"/>
      <c r="BM360" s="39"/>
    </row>
    <row r="361" spans="1:65" x14ac:dyDescent="0.15">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c r="AR361" s="39"/>
      <c r="AS361" s="39"/>
      <c r="AT361" s="39"/>
      <c r="AU361" s="39"/>
      <c r="AV361" s="39"/>
      <c r="AW361" s="39"/>
      <c r="AX361" s="39"/>
      <c r="AY361" s="39"/>
      <c r="AZ361" s="39"/>
      <c r="BA361" s="39"/>
      <c r="BB361" s="39"/>
      <c r="BC361" s="39"/>
      <c r="BD361" s="39"/>
      <c r="BE361" s="39"/>
      <c r="BF361" s="39"/>
      <c r="BG361" s="39"/>
      <c r="BH361" s="39"/>
      <c r="BI361" s="39"/>
      <c r="BJ361" s="39"/>
      <c r="BK361" s="39"/>
      <c r="BL361" s="39"/>
      <c r="BM361" s="39"/>
    </row>
    <row r="362" spans="1:65" x14ac:dyDescent="0.15">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B362" s="39"/>
      <c r="BC362" s="39"/>
      <c r="BD362" s="39"/>
      <c r="BE362" s="39"/>
      <c r="BF362" s="39"/>
      <c r="BG362" s="39"/>
      <c r="BH362" s="39"/>
      <c r="BI362" s="39"/>
      <c r="BJ362" s="39"/>
      <c r="BK362" s="39"/>
      <c r="BL362" s="39"/>
      <c r="BM362" s="39"/>
    </row>
    <row r="363" spans="1:65" x14ac:dyDescent="0.15">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c r="AP363" s="39"/>
      <c r="AQ363" s="39"/>
      <c r="AR363" s="39"/>
      <c r="AS363" s="39"/>
      <c r="AT363" s="39"/>
      <c r="AU363" s="39"/>
      <c r="AV363" s="39"/>
      <c r="AW363" s="39"/>
      <c r="AX363" s="39"/>
      <c r="AY363" s="39"/>
      <c r="AZ363" s="39"/>
      <c r="BA363" s="39"/>
      <c r="BB363" s="39"/>
      <c r="BC363" s="39"/>
      <c r="BD363" s="39"/>
      <c r="BE363" s="39"/>
      <c r="BF363" s="39"/>
      <c r="BG363" s="39"/>
      <c r="BH363" s="39"/>
      <c r="BI363" s="39"/>
      <c r="BJ363" s="39"/>
      <c r="BK363" s="39"/>
      <c r="BL363" s="39"/>
      <c r="BM363" s="39"/>
    </row>
    <row r="364" spans="1:65" x14ac:dyDescent="0.15">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c r="AM364" s="39"/>
      <c r="AN364" s="39"/>
      <c r="AO364" s="39"/>
      <c r="AP364" s="39"/>
      <c r="AQ364" s="39"/>
      <c r="AR364" s="39"/>
      <c r="AS364" s="39"/>
      <c r="AT364" s="39"/>
      <c r="AU364" s="39"/>
      <c r="AV364" s="39"/>
      <c r="AW364" s="39"/>
      <c r="AX364" s="39"/>
      <c r="AY364" s="39"/>
      <c r="AZ364" s="39"/>
      <c r="BA364" s="39"/>
      <c r="BB364" s="39"/>
      <c r="BC364" s="39"/>
      <c r="BD364" s="39"/>
      <c r="BE364" s="39"/>
      <c r="BF364" s="39"/>
      <c r="BG364" s="39"/>
      <c r="BH364" s="39"/>
      <c r="BI364" s="39"/>
      <c r="BJ364" s="39"/>
      <c r="BK364" s="39"/>
      <c r="BL364" s="39"/>
      <c r="BM364" s="39"/>
    </row>
    <row r="365" spans="1:65" x14ac:dyDescent="0.1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c r="AM365" s="39"/>
      <c r="AN365" s="39"/>
      <c r="AO365" s="39"/>
      <c r="AP365" s="39"/>
      <c r="AQ365" s="39"/>
      <c r="AR365" s="39"/>
      <c r="AS365" s="39"/>
      <c r="AT365" s="39"/>
      <c r="AU365" s="39"/>
      <c r="AV365" s="39"/>
      <c r="AW365" s="39"/>
      <c r="AX365" s="39"/>
      <c r="AY365" s="39"/>
      <c r="AZ365" s="39"/>
      <c r="BA365" s="39"/>
      <c r="BB365" s="39"/>
      <c r="BC365" s="39"/>
      <c r="BD365" s="39"/>
      <c r="BE365" s="39"/>
      <c r="BF365" s="39"/>
      <c r="BG365" s="39"/>
      <c r="BH365" s="39"/>
      <c r="BI365" s="39"/>
      <c r="BJ365" s="39"/>
      <c r="BK365" s="39"/>
      <c r="BL365" s="39"/>
      <c r="BM365" s="39"/>
    </row>
    <row r="366" spans="1:65" x14ac:dyDescent="0.15">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c r="AM366" s="39"/>
      <c r="AN366" s="39"/>
      <c r="AO366" s="39"/>
      <c r="AP366" s="39"/>
      <c r="AQ366" s="39"/>
      <c r="AR366" s="39"/>
      <c r="AS366" s="39"/>
      <c r="AT366" s="39"/>
      <c r="AU366" s="39"/>
      <c r="AV366" s="39"/>
      <c r="AW366" s="39"/>
      <c r="AX366" s="39"/>
      <c r="AY366" s="39"/>
      <c r="AZ366" s="39"/>
      <c r="BA366" s="39"/>
      <c r="BB366" s="39"/>
      <c r="BC366" s="39"/>
      <c r="BD366" s="39"/>
      <c r="BE366" s="39"/>
      <c r="BF366" s="39"/>
      <c r="BG366" s="39"/>
      <c r="BH366" s="39"/>
      <c r="BI366" s="39"/>
      <c r="BJ366" s="39"/>
      <c r="BK366" s="39"/>
      <c r="BL366" s="39"/>
      <c r="BM366" s="39"/>
    </row>
    <row r="367" spans="1:65" x14ac:dyDescent="0.15">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c r="AM367" s="39"/>
      <c r="AN367" s="39"/>
      <c r="AO367" s="39"/>
      <c r="AP367" s="39"/>
      <c r="AQ367" s="39"/>
      <c r="AR367" s="39"/>
      <c r="AS367" s="39"/>
      <c r="AT367" s="39"/>
      <c r="AU367" s="39"/>
      <c r="AV367" s="39"/>
      <c r="AW367" s="39"/>
      <c r="AX367" s="39"/>
      <c r="AY367" s="39"/>
      <c r="AZ367" s="39"/>
      <c r="BA367" s="39"/>
      <c r="BB367" s="39"/>
      <c r="BC367" s="39"/>
      <c r="BD367" s="39"/>
      <c r="BE367" s="39"/>
      <c r="BF367" s="39"/>
      <c r="BG367" s="39"/>
      <c r="BH367" s="39"/>
      <c r="BI367" s="39"/>
      <c r="BJ367" s="39"/>
      <c r="BK367" s="39"/>
      <c r="BL367" s="39"/>
      <c r="BM367" s="39"/>
    </row>
    <row r="368" spans="1:65" x14ac:dyDescent="0.15">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row>
    <row r="369" spans="1:65" x14ac:dyDescent="0.15">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c r="AP369" s="39"/>
      <c r="AQ369" s="39"/>
      <c r="AR369" s="39"/>
      <c r="AS369" s="39"/>
      <c r="AT369" s="39"/>
      <c r="AU369" s="39"/>
      <c r="AV369" s="39"/>
      <c r="AW369" s="39"/>
      <c r="AX369" s="39"/>
      <c r="AY369" s="39"/>
      <c r="AZ369" s="39"/>
      <c r="BA369" s="39"/>
      <c r="BB369" s="39"/>
      <c r="BC369" s="39"/>
      <c r="BD369" s="39"/>
      <c r="BE369" s="39"/>
      <c r="BF369" s="39"/>
      <c r="BG369" s="39"/>
      <c r="BH369" s="39"/>
      <c r="BI369" s="39"/>
      <c r="BJ369" s="39"/>
      <c r="BK369" s="39"/>
      <c r="BL369" s="39"/>
      <c r="BM369" s="39"/>
    </row>
    <row r="370" spans="1:65" x14ac:dyDescent="0.15">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c r="AM370" s="39"/>
      <c r="AN370" s="39"/>
      <c r="AO370" s="39"/>
      <c r="AP370" s="39"/>
      <c r="AQ370" s="39"/>
      <c r="AR370" s="39"/>
      <c r="AS370" s="39"/>
      <c r="AT370" s="39"/>
      <c r="AU370" s="39"/>
      <c r="AV370" s="39"/>
      <c r="AW370" s="39"/>
      <c r="AX370" s="39"/>
      <c r="AY370" s="39"/>
      <c r="AZ370" s="39"/>
      <c r="BA370" s="39"/>
      <c r="BB370" s="39"/>
      <c r="BC370" s="39"/>
      <c r="BD370" s="39"/>
      <c r="BE370" s="39"/>
      <c r="BF370" s="39"/>
      <c r="BG370" s="39"/>
      <c r="BH370" s="39"/>
      <c r="BI370" s="39"/>
      <c r="BJ370" s="39"/>
      <c r="BK370" s="39"/>
      <c r="BL370" s="39"/>
      <c r="BM370" s="39"/>
    </row>
    <row r="371" spans="1:65" x14ac:dyDescent="0.15">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c r="AM371" s="39"/>
      <c r="AN371" s="39"/>
      <c r="AO371" s="39"/>
      <c r="AP371" s="39"/>
      <c r="AQ371" s="39"/>
      <c r="AR371" s="39"/>
      <c r="AS371" s="39"/>
      <c r="AT371" s="39"/>
      <c r="AU371" s="39"/>
      <c r="AV371" s="39"/>
      <c r="AW371" s="39"/>
      <c r="AX371" s="39"/>
      <c r="AY371" s="39"/>
      <c r="AZ371" s="39"/>
      <c r="BA371" s="39"/>
      <c r="BB371" s="39"/>
      <c r="BC371" s="39"/>
      <c r="BD371" s="39"/>
      <c r="BE371" s="39"/>
      <c r="BF371" s="39"/>
      <c r="BG371" s="39"/>
      <c r="BH371" s="39"/>
      <c r="BI371" s="39"/>
      <c r="BJ371" s="39"/>
      <c r="BK371" s="39"/>
      <c r="BL371" s="39"/>
      <c r="BM371" s="39"/>
    </row>
    <row r="372" spans="1:65" x14ac:dyDescent="0.15">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c r="AM372" s="39"/>
      <c r="AN372" s="39"/>
      <c r="AO372" s="39"/>
      <c r="AP372" s="39"/>
      <c r="AQ372" s="39"/>
      <c r="AR372" s="39"/>
      <c r="AS372" s="39"/>
      <c r="AT372" s="39"/>
      <c r="AU372" s="39"/>
      <c r="AV372" s="39"/>
      <c r="AW372" s="39"/>
      <c r="AX372" s="39"/>
      <c r="AY372" s="39"/>
      <c r="AZ372" s="39"/>
      <c r="BA372" s="39"/>
      <c r="BB372" s="39"/>
      <c r="BC372" s="39"/>
      <c r="BD372" s="39"/>
      <c r="BE372" s="39"/>
      <c r="BF372" s="39"/>
      <c r="BG372" s="39"/>
      <c r="BH372" s="39"/>
      <c r="BI372" s="39"/>
      <c r="BJ372" s="39"/>
      <c r="BK372" s="39"/>
      <c r="BL372" s="39"/>
      <c r="BM372" s="39"/>
    </row>
    <row r="373" spans="1:65" x14ac:dyDescent="0.15">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c r="AM373" s="39"/>
      <c r="AN373" s="39"/>
      <c r="AO373" s="39"/>
      <c r="AP373" s="39"/>
      <c r="AQ373" s="39"/>
      <c r="AR373" s="39"/>
      <c r="AS373" s="39"/>
      <c r="AT373" s="39"/>
      <c r="AU373" s="39"/>
      <c r="AV373" s="39"/>
      <c r="AW373" s="39"/>
      <c r="AX373" s="39"/>
      <c r="AY373" s="39"/>
      <c r="AZ373" s="39"/>
      <c r="BA373" s="39"/>
      <c r="BB373" s="39"/>
      <c r="BC373" s="39"/>
      <c r="BD373" s="39"/>
      <c r="BE373" s="39"/>
      <c r="BF373" s="39"/>
      <c r="BG373" s="39"/>
      <c r="BH373" s="39"/>
      <c r="BI373" s="39"/>
      <c r="BJ373" s="39"/>
      <c r="BK373" s="39"/>
      <c r="BL373" s="39"/>
      <c r="BM373" s="39"/>
    </row>
    <row r="374" spans="1:65" x14ac:dyDescent="0.15">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B374" s="39"/>
      <c r="BC374" s="39"/>
      <c r="BD374" s="39"/>
      <c r="BE374" s="39"/>
      <c r="BF374" s="39"/>
      <c r="BG374" s="39"/>
      <c r="BH374" s="39"/>
      <c r="BI374" s="39"/>
      <c r="BJ374" s="39"/>
      <c r="BK374" s="39"/>
      <c r="BL374" s="39"/>
      <c r="BM374" s="39"/>
    </row>
    <row r="375" spans="1:65" x14ac:dyDescent="0.1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c r="AP375" s="39"/>
      <c r="AQ375" s="39"/>
      <c r="AR375" s="39"/>
      <c r="AS375" s="39"/>
      <c r="AT375" s="39"/>
      <c r="AU375" s="39"/>
      <c r="AV375" s="39"/>
      <c r="AW375" s="39"/>
      <c r="AX375" s="39"/>
      <c r="AY375" s="39"/>
      <c r="AZ375" s="39"/>
      <c r="BA375" s="39"/>
      <c r="BB375" s="39"/>
      <c r="BC375" s="39"/>
      <c r="BD375" s="39"/>
      <c r="BE375" s="39"/>
      <c r="BF375" s="39"/>
      <c r="BG375" s="39"/>
      <c r="BH375" s="39"/>
      <c r="BI375" s="39"/>
      <c r="BJ375" s="39"/>
      <c r="BK375" s="39"/>
      <c r="BL375" s="39"/>
      <c r="BM375" s="39"/>
    </row>
    <row r="376" spans="1:65" x14ac:dyDescent="0.15">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c r="AM376" s="39"/>
      <c r="AN376" s="39"/>
      <c r="AO376" s="39"/>
      <c r="AP376" s="39"/>
      <c r="AQ376" s="39"/>
      <c r="AR376" s="39"/>
      <c r="AS376" s="39"/>
      <c r="AT376" s="39"/>
      <c r="AU376" s="39"/>
      <c r="AV376" s="39"/>
      <c r="AW376" s="39"/>
      <c r="AX376" s="39"/>
      <c r="AY376" s="39"/>
      <c r="AZ376" s="39"/>
      <c r="BA376" s="39"/>
      <c r="BB376" s="39"/>
      <c r="BC376" s="39"/>
      <c r="BD376" s="39"/>
      <c r="BE376" s="39"/>
      <c r="BF376" s="39"/>
      <c r="BG376" s="39"/>
      <c r="BH376" s="39"/>
      <c r="BI376" s="39"/>
      <c r="BJ376" s="39"/>
      <c r="BK376" s="39"/>
      <c r="BL376" s="39"/>
      <c r="BM376" s="39"/>
    </row>
    <row r="377" spans="1:65" x14ac:dyDescent="0.15">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c r="AM377" s="39"/>
      <c r="AN377" s="39"/>
      <c r="AO377" s="39"/>
      <c r="AP377" s="39"/>
      <c r="AQ377" s="39"/>
      <c r="AR377" s="39"/>
      <c r="AS377" s="39"/>
      <c r="AT377" s="39"/>
      <c r="AU377" s="39"/>
      <c r="AV377" s="39"/>
      <c r="AW377" s="39"/>
      <c r="AX377" s="39"/>
      <c r="AY377" s="39"/>
      <c r="AZ377" s="39"/>
      <c r="BA377" s="39"/>
      <c r="BB377" s="39"/>
      <c r="BC377" s="39"/>
      <c r="BD377" s="39"/>
      <c r="BE377" s="39"/>
      <c r="BF377" s="39"/>
      <c r="BG377" s="39"/>
      <c r="BH377" s="39"/>
      <c r="BI377" s="39"/>
      <c r="BJ377" s="39"/>
      <c r="BK377" s="39"/>
      <c r="BL377" s="39"/>
      <c r="BM377" s="39"/>
    </row>
    <row r="378" spans="1:65" x14ac:dyDescent="0.15">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c r="AM378" s="39"/>
      <c r="AN378" s="39"/>
      <c r="AO378" s="39"/>
      <c r="AP378" s="39"/>
      <c r="AQ378" s="39"/>
      <c r="AR378" s="39"/>
      <c r="AS378" s="39"/>
      <c r="AT378" s="39"/>
      <c r="AU378" s="39"/>
      <c r="AV378" s="39"/>
      <c r="AW378" s="39"/>
      <c r="AX378" s="39"/>
      <c r="AY378" s="39"/>
      <c r="AZ378" s="39"/>
      <c r="BA378" s="39"/>
      <c r="BB378" s="39"/>
      <c r="BC378" s="39"/>
      <c r="BD378" s="39"/>
      <c r="BE378" s="39"/>
      <c r="BF378" s="39"/>
      <c r="BG378" s="39"/>
      <c r="BH378" s="39"/>
      <c r="BI378" s="39"/>
      <c r="BJ378" s="39"/>
      <c r="BK378" s="39"/>
      <c r="BL378" s="39"/>
      <c r="BM378" s="39"/>
    </row>
    <row r="379" spans="1:65" x14ac:dyDescent="0.15">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c r="AM379" s="39"/>
      <c r="AN379" s="39"/>
      <c r="AO379" s="39"/>
      <c r="AP379" s="39"/>
      <c r="AQ379" s="39"/>
      <c r="AR379" s="39"/>
      <c r="AS379" s="39"/>
      <c r="AT379" s="39"/>
      <c r="AU379" s="39"/>
      <c r="AV379" s="39"/>
      <c r="AW379" s="39"/>
      <c r="AX379" s="39"/>
      <c r="AY379" s="39"/>
      <c r="AZ379" s="39"/>
      <c r="BA379" s="39"/>
      <c r="BB379" s="39"/>
      <c r="BC379" s="39"/>
      <c r="BD379" s="39"/>
      <c r="BE379" s="39"/>
      <c r="BF379" s="39"/>
      <c r="BG379" s="39"/>
      <c r="BH379" s="39"/>
      <c r="BI379" s="39"/>
      <c r="BJ379" s="39"/>
      <c r="BK379" s="39"/>
      <c r="BL379" s="39"/>
      <c r="BM379" s="39"/>
    </row>
    <row r="380" spans="1:65" x14ac:dyDescent="0.15">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c r="BA380" s="39"/>
      <c r="BB380" s="39"/>
      <c r="BC380" s="39"/>
      <c r="BD380" s="39"/>
      <c r="BE380" s="39"/>
      <c r="BF380" s="39"/>
      <c r="BG380" s="39"/>
      <c r="BH380" s="39"/>
      <c r="BI380" s="39"/>
      <c r="BJ380" s="39"/>
      <c r="BK380" s="39"/>
      <c r="BL380" s="39"/>
      <c r="BM380" s="39"/>
    </row>
    <row r="381" spans="1:65" x14ac:dyDescent="0.15">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c r="AP381" s="39"/>
      <c r="AQ381" s="39"/>
      <c r="AR381" s="39"/>
      <c r="AS381" s="39"/>
      <c r="AT381" s="39"/>
      <c r="AU381" s="39"/>
      <c r="AV381" s="39"/>
      <c r="AW381" s="39"/>
      <c r="AX381" s="39"/>
      <c r="AY381" s="39"/>
      <c r="AZ381" s="39"/>
      <c r="BA381" s="39"/>
      <c r="BB381" s="39"/>
      <c r="BC381" s="39"/>
      <c r="BD381" s="39"/>
      <c r="BE381" s="39"/>
      <c r="BF381" s="39"/>
      <c r="BG381" s="39"/>
      <c r="BH381" s="39"/>
      <c r="BI381" s="39"/>
      <c r="BJ381" s="39"/>
      <c r="BK381" s="39"/>
      <c r="BL381" s="39"/>
      <c r="BM381" s="39"/>
    </row>
    <row r="382" spans="1:65" x14ac:dyDescent="0.15">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c r="AM382" s="39"/>
      <c r="AN382" s="39"/>
      <c r="AO382" s="39"/>
      <c r="AP382" s="39"/>
      <c r="AQ382" s="39"/>
      <c r="AR382" s="39"/>
      <c r="AS382" s="39"/>
      <c r="AT382" s="39"/>
      <c r="AU382" s="39"/>
      <c r="AV382" s="39"/>
      <c r="AW382" s="39"/>
      <c r="AX382" s="39"/>
      <c r="AY382" s="39"/>
      <c r="AZ382" s="39"/>
      <c r="BA382" s="39"/>
      <c r="BB382" s="39"/>
      <c r="BC382" s="39"/>
      <c r="BD382" s="39"/>
      <c r="BE382" s="39"/>
      <c r="BF382" s="39"/>
      <c r="BG382" s="39"/>
      <c r="BH382" s="39"/>
      <c r="BI382" s="39"/>
      <c r="BJ382" s="39"/>
      <c r="BK382" s="39"/>
      <c r="BL382" s="39"/>
      <c r="BM382" s="39"/>
    </row>
    <row r="383" spans="1:65" x14ac:dyDescent="0.15">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c r="AM383" s="39"/>
      <c r="AN383" s="39"/>
      <c r="AO383" s="39"/>
      <c r="AP383" s="39"/>
      <c r="AQ383" s="39"/>
      <c r="AR383" s="39"/>
      <c r="AS383" s="39"/>
      <c r="AT383" s="39"/>
      <c r="AU383" s="39"/>
      <c r="AV383" s="39"/>
      <c r="AW383" s="39"/>
      <c r="AX383" s="39"/>
      <c r="AY383" s="39"/>
      <c r="AZ383" s="39"/>
      <c r="BA383" s="39"/>
      <c r="BB383" s="39"/>
      <c r="BC383" s="39"/>
      <c r="BD383" s="39"/>
      <c r="BE383" s="39"/>
      <c r="BF383" s="39"/>
      <c r="BG383" s="39"/>
      <c r="BH383" s="39"/>
      <c r="BI383" s="39"/>
      <c r="BJ383" s="39"/>
      <c r="BK383" s="39"/>
      <c r="BL383" s="39"/>
      <c r="BM383" s="39"/>
    </row>
    <row r="384" spans="1:65" x14ac:dyDescent="0.15">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c r="AM384" s="39"/>
      <c r="AN384" s="39"/>
      <c r="AO384" s="39"/>
      <c r="AP384" s="39"/>
      <c r="AQ384" s="39"/>
      <c r="AR384" s="39"/>
      <c r="AS384" s="39"/>
      <c r="AT384" s="39"/>
      <c r="AU384" s="39"/>
      <c r="AV384" s="39"/>
      <c r="AW384" s="39"/>
      <c r="AX384" s="39"/>
      <c r="AY384" s="39"/>
      <c r="AZ384" s="39"/>
      <c r="BA384" s="39"/>
      <c r="BB384" s="39"/>
      <c r="BC384" s="39"/>
      <c r="BD384" s="39"/>
      <c r="BE384" s="39"/>
      <c r="BF384" s="39"/>
      <c r="BG384" s="39"/>
      <c r="BH384" s="39"/>
      <c r="BI384" s="39"/>
      <c r="BJ384" s="39"/>
      <c r="BK384" s="39"/>
      <c r="BL384" s="39"/>
      <c r="BM384" s="39"/>
    </row>
    <row r="385" spans="1:65" x14ac:dyDescent="0.1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row>
    <row r="386" spans="1:65" x14ac:dyDescent="0.15">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c r="AM386" s="39"/>
      <c r="AN386" s="39"/>
      <c r="AO386" s="39"/>
      <c r="AP386" s="39"/>
      <c r="AQ386" s="39"/>
      <c r="AR386" s="39"/>
      <c r="AS386" s="39"/>
      <c r="AT386" s="39"/>
      <c r="AU386" s="39"/>
      <c r="AV386" s="39"/>
      <c r="AW386" s="39"/>
      <c r="AX386" s="39"/>
      <c r="AY386" s="39"/>
      <c r="AZ386" s="39"/>
      <c r="BA386" s="39"/>
      <c r="BB386" s="39"/>
      <c r="BC386" s="39"/>
      <c r="BD386" s="39"/>
      <c r="BE386" s="39"/>
      <c r="BF386" s="39"/>
      <c r="BG386" s="39"/>
      <c r="BH386" s="39"/>
      <c r="BI386" s="39"/>
      <c r="BJ386" s="39"/>
      <c r="BK386" s="39"/>
      <c r="BL386" s="39"/>
      <c r="BM386" s="39"/>
    </row>
    <row r="387" spans="1:65" x14ac:dyDescent="0.15">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c r="AM387" s="39"/>
      <c r="AN387" s="39"/>
      <c r="AO387" s="39"/>
      <c r="AP387" s="39"/>
      <c r="AQ387" s="39"/>
      <c r="AR387" s="39"/>
      <c r="AS387" s="39"/>
      <c r="AT387" s="39"/>
      <c r="AU387" s="39"/>
      <c r="AV387" s="39"/>
      <c r="AW387" s="39"/>
      <c r="AX387" s="39"/>
      <c r="AY387" s="39"/>
      <c r="AZ387" s="39"/>
      <c r="BA387" s="39"/>
      <c r="BB387" s="39"/>
      <c r="BC387" s="39"/>
      <c r="BD387" s="39"/>
      <c r="BE387" s="39"/>
      <c r="BF387" s="39"/>
      <c r="BG387" s="39"/>
      <c r="BH387" s="39"/>
      <c r="BI387" s="39"/>
      <c r="BJ387" s="39"/>
      <c r="BK387" s="39"/>
      <c r="BL387" s="39"/>
      <c r="BM387" s="39"/>
    </row>
    <row r="388" spans="1:65" x14ac:dyDescent="0.15">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c r="AM388" s="39"/>
      <c r="AN388" s="39"/>
      <c r="AO388" s="39"/>
      <c r="AP388" s="39"/>
      <c r="AQ388" s="39"/>
      <c r="AR388" s="39"/>
      <c r="AS388" s="39"/>
      <c r="AT388" s="39"/>
      <c r="AU388" s="39"/>
      <c r="AV388" s="39"/>
      <c r="AW388" s="39"/>
      <c r="AX388" s="39"/>
      <c r="AY388" s="39"/>
      <c r="AZ388" s="39"/>
      <c r="BA388" s="39"/>
      <c r="BB388" s="39"/>
      <c r="BC388" s="39"/>
      <c r="BD388" s="39"/>
      <c r="BE388" s="39"/>
      <c r="BF388" s="39"/>
      <c r="BG388" s="39"/>
      <c r="BH388" s="39"/>
      <c r="BI388" s="39"/>
      <c r="BJ388" s="39"/>
      <c r="BK388" s="39"/>
      <c r="BL388" s="39"/>
      <c r="BM388" s="39"/>
    </row>
    <row r="389" spans="1:65" x14ac:dyDescent="0.15">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c r="BA389" s="39"/>
      <c r="BB389" s="39"/>
      <c r="BC389" s="39"/>
      <c r="BD389" s="39"/>
      <c r="BE389" s="39"/>
      <c r="BF389" s="39"/>
      <c r="BG389" s="39"/>
      <c r="BH389" s="39"/>
      <c r="BI389" s="39"/>
      <c r="BJ389" s="39"/>
      <c r="BK389" s="39"/>
      <c r="BL389" s="39"/>
      <c r="BM389" s="39"/>
    </row>
    <row r="390" spans="1:65" x14ac:dyDescent="0.15">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c r="AP390" s="39"/>
      <c r="AQ390" s="39"/>
      <c r="AR390" s="39"/>
      <c r="AS390" s="39"/>
      <c r="AT390" s="39"/>
      <c r="AU390" s="39"/>
      <c r="AV390" s="39"/>
      <c r="AW390" s="39"/>
      <c r="AX390" s="39"/>
      <c r="AY390" s="39"/>
      <c r="AZ390" s="39"/>
      <c r="BA390" s="39"/>
      <c r="BB390" s="39"/>
      <c r="BC390" s="39"/>
      <c r="BD390" s="39"/>
      <c r="BE390" s="39"/>
      <c r="BF390" s="39"/>
      <c r="BG390" s="39"/>
      <c r="BH390" s="39"/>
      <c r="BI390" s="39"/>
      <c r="BJ390" s="39"/>
      <c r="BK390" s="39"/>
      <c r="BL390" s="39"/>
      <c r="BM390" s="39"/>
    </row>
    <row r="391" spans="1:65" x14ac:dyDescent="0.15">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c r="AM391" s="39"/>
      <c r="AN391" s="39"/>
      <c r="AO391" s="39"/>
      <c r="AP391" s="39"/>
      <c r="AQ391" s="39"/>
      <c r="AR391" s="39"/>
      <c r="AS391" s="39"/>
      <c r="AT391" s="39"/>
      <c r="AU391" s="39"/>
      <c r="AV391" s="39"/>
      <c r="AW391" s="39"/>
      <c r="AX391" s="39"/>
      <c r="AY391" s="39"/>
      <c r="AZ391" s="39"/>
      <c r="BA391" s="39"/>
      <c r="BB391" s="39"/>
      <c r="BC391" s="39"/>
      <c r="BD391" s="39"/>
      <c r="BE391" s="39"/>
      <c r="BF391" s="39"/>
      <c r="BG391" s="39"/>
      <c r="BH391" s="39"/>
      <c r="BI391" s="39"/>
      <c r="BJ391" s="39"/>
      <c r="BK391" s="39"/>
      <c r="BL391" s="39"/>
      <c r="BM391" s="39"/>
    </row>
    <row r="392" spans="1:65" x14ac:dyDescent="0.15">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row>
    <row r="393" spans="1:65" x14ac:dyDescent="0.15">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c r="AM393" s="39"/>
      <c r="AN393" s="39"/>
      <c r="AO393" s="39"/>
      <c r="AP393" s="39"/>
      <c r="AQ393" s="39"/>
      <c r="AR393" s="39"/>
      <c r="AS393" s="39"/>
      <c r="AT393" s="39"/>
      <c r="AU393" s="39"/>
      <c r="AV393" s="39"/>
      <c r="AW393" s="39"/>
      <c r="AX393" s="39"/>
      <c r="AY393" s="39"/>
      <c r="AZ393" s="39"/>
      <c r="BA393" s="39"/>
      <c r="BB393" s="39"/>
      <c r="BC393" s="39"/>
      <c r="BD393" s="39"/>
      <c r="BE393" s="39"/>
      <c r="BF393" s="39"/>
      <c r="BG393" s="39"/>
      <c r="BH393" s="39"/>
      <c r="BI393" s="39"/>
      <c r="BJ393" s="39"/>
      <c r="BK393" s="39"/>
      <c r="BL393" s="39"/>
      <c r="BM393" s="39"/>
    </row>
    <row r="394" spans="1:65" x14ac:dyDescent="0.15">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c r="AM394" s="39"/>
      <c r="AN394" s="39"/>
      <c r="AO394" s="39"/>
      <c r="AP394" s="39"/>
      <c r="AQ394" s="39"/>
      <c r="AR394" s="39"/>
      <c r="AS394" s="39"/>
      <c r="AT394" s="39"/>
      <c r="AU394" s="39"/>
      <c r="AV394" s="39"/>
      <c r="AW394" s="39"/>
      <c r="AX394" s="39"/>
      <c r="AY394" s="39"/>
      <c r="AZ394" s="39"/>
      <c r="BA394" s="39"/>
      <c r="BB394" s="39"/>
      <c r="BC394" s="39"/>
      <c r="BD394" s="39"/>
      <c r="BE394" s="39"/>
      <c r="BF394" s="39"/>
      <c r="BG394" s="39"/>
      <c r="BH394" s="39"/>
      <c r="BI394" s="39"/>
      <c r="BJ394" s="39"/>
      <c r="BK394" s="39"/>
      <c r="BL394" s="39"/>
      <c r="BM394" s="39"/>
    </row>
    <row r="395" spans="1:65" x14ac:dyDescent="0.1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B395" s="39"/>
      <c r="BC395" s="39"/>
      <c r="BD395" s="39"/>
      <c r="BE395" s="39"/>
      <c r="BF395" s="39"/>
      <c r="BG395" s="39"/>
      <c r="BH395" s="39"/>
      <c r="BI395" s="39"/>
      <c r="BJ395" s="39"/>
      <c r="BK395" s="39"/>
      <c r="BL395" s="39"/>
      <c r="BM395" s="39"/>
    </row>
    <row r="396" spans="1:65" x14ac:dyDescent="0.15">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B396" s="39"/>
      <c r="BC396" s="39"/>
      <c r="BD396" s="39"/>
      <c r="BE396" s="39"/>
      <c r="BF396" s="39"/>
      <c r="BG396" s="39"/>
      <c r="BH396" s="39"/>
      <c r="BI396" s="39"/>
      <c r="BJ396" s="39"/>
      <c r="BK396" s="39"/>
      <c r="BL396" s="39"/>
      <c r="BM396" s="39"/>
    </row>
    <row r="397" spans="1:65" x14ac:dyDescent="0.15">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c r="AP397" s="39"/>
      <c r="AQ397" s="39"/>
      <c r="AR397" s="39"/>
      <c r="AS397" s="39"/>
      <c r="AT397" s="39"/>
      <c r="AU397" s="39"/>
      <c r="AV397" s="39"/>
      <c r="AW397" s="39"/>
      <c r="AX397" s="39"/>
      <c r="AY397" s="39"/>
      <c r="AZ397" s="39"/>
      <c r="BA397" s="39"/>
      <c r="BB397" s="39"/>
      <c r="BC397" s="39"/>
      <c r="BD397" s="39"/>
      <c r="BE397" s="39"/>
      <c r="BF397" s="39"/>
      <c r="BG397" s="39"/>
      <c r="BH397" s="39"/>
      <c r="BI397" s="39"/>
      <c r="BJ397" s="39"/>
      <c r="BK397" s="39"/>
      <c r="BL397" s="39"/>
      <c r="BM397" s="39"/>
    </row>
    <row r="398" spans="1:65" x14ac:dyDescent="0.15">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c r="AM398" s="39"/>
      <c r="AN398" s="39"/>
      <c r="AO398" s="39"/>
      <c r="AP398" s="39"/>
      <c r="AQ398" s="39"/>
      <c r="AR398" s="39"/>
      <c r="AS398" s="39"/>
      <c r="AT398" s="39"/>
      <c r="AU398" s="39"/>
      <c r="AV398" s="39"/>
      <c r="AW398" s="39"/>
      <c r="AX398" s="39"/>
      <c r="AY398" s="39"/>
      <c r="AZ398" s="39"/>
      <c r="BA398" s="39"/>
      <c r="BB398" s="39"/>
      <c r="BC398" s="39"/>
      <c r="BD398" s="39"/>
      <c r="BE398" s="39"/>
      <c r="BF398" s="39"/>
      <c r="BG398" s="39"/>
      <c r="BH398" s="39"/>
      <c r="BI398" s="39"/>
      <c r="BJ398" s="39"/>
      <c r="BK398" s="39"/>
      <c r="BL398" s="39"/>
      <c r="BM398" s="39"/>
    </row>
    <row r="399" spans="1:65" x14ac:dyDescent="0.15">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c r="AM399" s="39"/>
      <c r="AN399" s="39"/>
      <c r="AO399" s="39"/>
      <c r="AP399" s="39"/>
      <c r="AQ399" s="39"/>
      <c r="AR399" s="39"/>
      <c r="AS399" s="39"/>
      <c r="AT399" s="39"/>
      <c r="AU399" s="39"/>
      <c r="AV399" s="39"/>
      <c r="AW399" s="39"/>
      <c r="AX399" s="39"/>
      <c r="AY399" s="39"/>
      <c r="AZ399" s="39"/>
      <c r="BA399" s="39"/>
      <c r="BB399" s="39"/>
      <c r="BC399" s="39"/>
      <c r="BD399" s="39"/>
      <c r="BE399" s="39"/>
      <c r="BF399" s="39"/>
      <c r="BG399" s="39"/>
      <c r="BH399" s="39"/>
      <c r="BI399" s="39"/>
      <c r="BJ399" s="39"/>
      <c r="BK399" s="39"/>
      <c r="BL399" s="39"/>
      <c r="BM399" s="39"/>
    </row>
    <row r="400" spans="1:65" x14ac:dyDescent="0.15">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c r="AM400" s="39"/>
      <c r="AN400" s="39"/>
      <c r="AO400" s="39"/>
      <c r="AP400" s="39"/>
      <c r="AQ400" s="39"/>
      <c r="AR400" s="39"/>
      <c r="AS400" s="39"/>
      <c r="AT400" s="39"/>
      <c r="AU400" s="39"/>
      <c r="AV400" s="39"/>
      <c r="AW400" s="39"/>
      <c r="AX400" s="39"/>
      <c r="AY400" s="39"/>
      <c r="AZ400" s="39"/>
      <c r="BA400" s="39"/>
      <c r="BB400" s="39"/>
      <c r="BC400" s="39"/>
      <c r="BD400" s="39"/>
      <c r="BE400" s="39"/>
      <c r="BF400" s="39"/>
      <c r="BG400" s="39"/>
      <c r="BH400" s="39"/>
      <c r="BI400" s="39"/>
      <c r="BJ400" s="39"/>
      <c r="BK400" s="39"/>
      <c r="BL400" s="39"/>
      <c r="BM400" s="39"/>
    </row>
    <row r="401" spans="1:65" x14ac:dyDescent="0.15">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B401" s="39"/>
      <c r="BC401" s="39"/>
      <c r="BD401" s="39"/>
      <c r="BE401" s="39"/>
      <c r="BF401" s="39"/>
      <c r="BG401" s="39"/>
      <c r="BH401" s="39"/>
      <c r="BI401" s="39"/>
      <c r="BJ401" s="39"/>
      <c r="BK401" s="39"/>
      <c r="BL401" s="39"/>
      <c r="BM401" s="39"/>
    </row>
    <row r="402" spans="1:65" x14ac:dyDescent="0.15">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c r="AP402" s="39"/>
      <c r="AQ402" s="39"/>
      <c r="AR402" s="39"/>
      <c r="AS402" s="39"/>
      <c r="AT402" s="39"/>
      <c r="AU402" s="39"/>
      <c r="AV402" s="39"/>
      <c r="AW402" s="39"/>
      <c r="AX402" s="39"/>
      <c r="AY402" s="39"/>
      <c r="AZ402" s="39"/>
      <c r="BA402" s="39"/>
      <c r="BB402" s="39"/>
      <c r="BC402" s="39"/>
      <c r="BD402" s="39"/>
      <c r="BE402" s="39"/>
      <c r="BF402" s="39"/>
      <c r="BG402" s="39"/>
      <c r="BH402" s="39"/>
      <c r="BI402" s="39"/>
      <c r="BJ402" s="39"/>
      <c r="BK402" s="39"/>
      <c r="BL402" s="39"/>
      <c r="BM402" s="39"/>
    </row>
    <row r="403" spans="1:65" x14ac:dyDescent="0.15">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c r="AN403" s="39"/>
      <c r="AO403" s="39"/>
      <c r="AP403" s="39"/>
      <c r="AQ403" s="39"/>
      <c r="AR403" s="39"/>
      <c r="AS403" s="39"/>
      <c r="AT403" s="39"/>
      <c r="AU403" s="39"/>
      <c r="AV403" s="39"/>
      <c r="AW403" s="39"/>
      <c r="AX403" s="39"/>
      <c r="AY403" s="39"/>
      <c r="AZ403" s="39"/>
      <c r="BA403" s="39"/>
      <c r="BB403" s="39"/>
      <c r="BC403" s="39"/>
      <c r="BD403" s="39"/>
      <c r="BE403" s="39"/>
      <c r="BF403" s="39"/>
      <c r="BG403" s="39"/>
      <c r="BH403" s="39"/>
      <c r="BI403" s="39"/>
      <c r="BJ403" s="39"/>
      <c r="BK403" s="39"/>
      <c r="BL403" s="39"/>
      <c r="BM403" s="39"/>
    </row>
    <row r="404" spans="1:65" x14ac:dyDescent="0.15">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c r="AM404" s="39"/>
      <c r="AN404" s="39"/>
      <c r="AO404" s="39"/>
      <c r="AP404" s="39"/>
      <c r="AQ404" s="39"/>
      <c r="AR404" s="39"/>
      <c r="AS404" s="39"/>
      <c r="AT404" s="39"/>
      <c r="AU404" s="39"/>
      <c r="AV404" s="39"/>
      <c r="AW404" s="39"/>
      <c r="AX404" s="39"/>
      <c r="AY404" s="39"/>
      <c r="AZ404" s="39"/>
      <c r="BA404" s="39"/>
      <c r="BB404" s="39"/>
      <c r="BC404" s="39"/>
      <c r="BD404" s="39"/>
      <c r="BE404" s="39"/>
      <c r="BF404" s="39"/>
      <c r="BG404" s="39"/>
      <c r="BH404" s="39"/>
      <c r="BI404" s="39"/>
      <c r="BJ404" s="39"/>
      <c r="BK404" s="39"/>
      <c r="BL404" s="39"/>
      <c r="BM404" s="39"/>
    </row>
    <row r="405" spans="1:65" x14ac:dyDescent="0.1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c r="AM405" s="39"/>
      <c r="AN405" s="39"/>
      <c r="AO405" s="39"/>
      <c r="AP405" s="39"/>
      <c r="AQ405" s="39"/>
      <c r="AR405" s="39"/>
      <c r="AS405" s="39"/>
      <c r="AT405" s="39"/>
      <c r="AU405" s="39"/>
      <c r="AV405" s="39"/>
      <c r="AW405" s="39"/>
      <c r="AX405" s="39"/>
      <c r="AY405" s="39"/>
      <c r="AZ405" s="39"/>
      <c r="BA405" s="39"/>
      <c r="BB405" s="39"/>
      <c r="BC405" s="39"/>
      <c r="BD405" s="39"/>
      <c r="BE405" s="39"/>
      <c r="BF405" s="39"/>
      <c r="BG405" s="39"/>
      <c r="BH405" s="39"/>
      <c r="BI405" s="39"/>
      <c r="BJ405" s="39"/>
      <c r="BK405" s="39"/>
      <c r="BL405" s="39"/>
      <c r="BM405" s="39"/>
    </row>
    <row r="406" spans="1:65" x14ac:dyDescent="0.15">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c r="AM406" s="39"/>
      <c r="AN406" s="39"/>
      <c r="AO406" s="39"/>
      <c r="AP406" s="39"/>
      <c r="AQ406" s="39"/>
      <c r="AR406" s="39"/>
      <c r="AS406" s="39"/>
      <c r="AT406" s="39"/>
      <c r="AU406" s="39"/>
      <c r="AV406" s="39"/>
      <c r="AW406" s="39"/>
      <c r="AX406" s="39"/>
      <c r="AY406" s="39"/>
      <c r="AZ406" s="39"/>
      <c r="BA406" s="39"/>
      <c r="BB406" s="39"/>
      <c r="BC406" s="39"/>
      <c r="BD406" s="39"/>
      <c r="BE406" s="39"/>
      <c r="BF406" s="39"/>
      <c r="BG406" s="39"/>
      <c r="BH406" s="39"/>
      <c r="BI406" s="39"/>
      <c r="BJ406" s="39"/>
      <c r="BK406" s="39"/>
      <c r="BL406" s="39"/>
      <c r="BM406" s="39"/>
    </row>
    <row r="407" spans="1:65" x14ac:dyDescent="0.15">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c r="BC407" s="39"/>
      <c r="BD407" s="39"/>
      <c r="BE407" s="39"/>
      <c r="BF407" s="39"/>
      <c r="BG407" s="39"/>
      <c r="BH407" s="39"/>
      <c r="BI407" s="39"/>
      <c r="BJ407" s="39"/>
      <c r="BK407" s="39"/>
      <c r="BL407" s="39"/>
      <c r="BM407" s="39"/>
    </row>
    <row r="408" spans="1:65" x14ac:dyDescent="0.15">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c r="AP408" s="39"/>
      <c r="AQ408" s="39"/>
      <c r="AR408" s="39"/>
      <c r="AS408" s="39"/>
      <c r="AT408" s="39"/>
      <c r="AU408" s="39"/>
      <c r="AV408" s="39"/>
      <c r="AW408" s="39"/>
      <c r="AX408" s="39"/>
      <c r="AY408" s="39"/>
      <c r="AZ408" s="39"/>
      <c r="BA408" s="39"/>
      <c r="BB408" s="39"/>
      <c r="BC408" s="39"/>
      <c r="BD408" s="39"/>
      <c r="BE408" s="39"/>
      <c r="BF408" s="39"/>
      <c r="BG408" s="39"/>
      <c r="BH408" s="39"/>
      <c r="BI408" s="39"/>
      <c r="BJ408" s="39"/>
      <c r="BK408" s="39"/>
      <c r="BL408" s="39"/>
      <c r="BM408" s="39"/>
    </row>
    <row r="409" spans="1:65" x14ac:dyDescent="0.15">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c r="AM409" s="39"/>
      <c r="AN409" s="39"/>
      <c r="AO409" s="39"/>
      <c r="AP409" s="39"/>
      <c r="AQ409" s="39"/>
      <c r="AR409" s="39"/>
      <c r="AS409" s="39"/>
      <c r="AT409" s="39"/>
      <c r="AU409" s="39"/>
      <c r="AV409" s="39"/>
      <c r="AW409" s="39"/>
      <c r="AX409" s="39"/>
      <c r="AY409" s="39"/>
      <c r="AZ409" s="39"/>
      <c r="BA409" s="39"/>
      <c r="BB409" s="39"/>
      <c r="BC409" s="39"/>
      <c r="BD409" s="39"/>
      <c r="BE409" s="39"/>
      <c r="BF409" s="39"/>
      <c r="BG409" s="39"/>
      <c r="BH409" s="39"/>
      <c r="BI409" s="39"/>
      <c r="BJ409" s="39"/>
      <c r="BK409" s="39"/>
      <c r="BL409" s="39"/>
      <c r="BM409" s="39"/>
    </row>
    <row r="410" spans="1:65" x14ac:dyDescent="0.15">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c r="AM410" s="39"/>
      <c r="AN410" s="39"/>
      <c r="AO410" s="39"/>
      <c r="AP410" s="39"/>
      <c r="AQ410" s="39"/>
      <c r="AR410" s="39"/>
      <c r="AS410" s="39"/>
      <c r="AT410" s="39"/>
      <c r="AU410" s="39"/>
      <c r="AV410" s="39"/>
      <c r="AW410" s="39"/>
      <c r="AX410" s="39"/>
      <c r="AY410" s="39"/>
      <c r="AZ410" s="39"/>
      <c r="BA410" s="39"/>
      <c r="BB410" s="39"/>
      <c r="BC410" s="39"/>
      <c r="BD410" s="39"/>
      <c r="BE410" s="39"/>
      <c r="BF410" s="39"/>
      <c r="BG410" s="39"/>
      <c r="BH410" s="39"/>
      <c r="BI410" s="39"/>
      <c r="BJ410" s="39"/>
      <c r="BK410" s="39"/>
      <c r="BL410" s="39"/>
      <c r="BM410" s="39"/>
    </row>
    <row r="411" spans="1:65" x14ac:dyDescent="0.15">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row>
    <row r="412" spans="1:65" x14ac:dyDescent="0.15">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c r="BA412" s="39"/>
      <c r="BB412" s="39"/>
      <c r="BC412" s="39"/>
      <c r="BD412" s="39"/>
      <c r="BE412" s="39"/>
      <c r="BF412" s="39"/>
      <c r="BG412" s="39"/>
      <c r="BH412" s="39"/>
      <c r="BI412" s="39"/>
      <c r="BJ412" s="39"/>
      <c r="BK412" s="39"/>
      <c r="BL412" s="39"/>
      <c r="BM412" s="39"/>
    </row>
    <row r="413" spans="1:65" x14ac:dyDescent="0.15">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c r="AM413" s="39"/>
      <c r="AN413" s="39"/>
      <c r="AO413" s="39"/>
      <c r="AP413" s="39"/>
      <c r="AQ413" s="39"/>
      <c r="AR413" s="39"/>
      <c r="AS413" s="39"/>
      <c r="AT413" s="39"/>
      <c r="AU413" s="39"/>
      <c r="AV413" s="39"/>
      <c r="AW413" s="39"/>
      <c r="AX413" s="39"/>
      <c r="AY413" s="39"/>
      <c r="AZ413" s="39"/>
      <c r="BA413" s="39"/>
      <c r="BB413" s="39"/>
      <c r="BC413" s="39"/>
      <c r="BD413" s="39"/>
      <c r="BE413" s="39"/>
      <c r="BF413" s="39"/>
      <c r="BG413" s="39"/>
      <c r="BH413" s="39"/>
      <c r="BI413" s="39"/>
      <c r="BJ413" s="39"/>
      <c r="BK413" s="39"/>
      <c r="BL413" s="39"/>
      <c r="BM413" s="39"/>
    </row>
    <row r="414" spans="1:65" x14ac:dyDescent="0.15">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c r="AM414" s="39"/>
      <c r="AN414" s="39"/>
      <c r="AO414" s="39"/>
      <c r="AP414" s="39"/>
      <c r="AQ414" s="39"/>
      <c r="AR414" s="39"/>
      <c r="AS414" s="39"/>
      <c r="AT414" s="39"/>
      <c r="AU414" s="39"/>
      <c r="AV414" s="39"/>
      <c r="AW414" s="39"/>
      <c r="AX414" s="39"/>
      <c r="AY414" s="39"/>
      <c r="AZ414" s="39"/>
      <c r="BA414" s="39"/>
      <c r="BB414" s="39"/>
      <c r="BC414" s="39"/>
      <c r="BD414" s="39"/>
      <c r="BE414" s="39"/>
      <c r="BF414" s="39"/>
      <c r="BG414" s="39"/>
      <c r="BH414" s="39"/>
      <c r="BI414" s="39"/>
      <c r="BJ414" s="39"/>
      <c r="BK414" s="39"/>
      <c r="BL414" s="39"/>
      <c r="BM414" s="39"/>
    </row>
    <row r="415" spans="1:65" x14ac:dyDescent="0.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c r="AM415" s="39"/>
      <c r="AN415" s="39"/>
      <c r="AO415" s="39"/>
      <c r="AP415" s="39"/>
      <c r="AQ415" s="39"/>
      <c r="AR415" s="39"/>
      <c r="AS415" s="39"/>
      <c r="AT415" s="39"/>
      <c r="AU415" s="39"/>
      <c r="AV415" s="39"/>
      <c r="AW415" s="39"/>
      <c r="AX415" s="39"/>
      <c r="AY415" s="39"/>
      <c r="AZ415" s="39"/>
      <c r="BA415" s="39"/>
      <c r="BB415" s="39"/>
      <c r="BC415" s="39"/>
      <c r="BD415" s="39"/>
      <c r="BE415" s="39"/>
      <c r="BF415" s="39"/>
      <c r="BG415" s="39"/>
      <c r="BH415" s="39"/>
      <c r="BI415" s="39"/>
      <c r="BJ415" s="39"/>
      <c r="BK415" s="39"/>
      <c r="BL415" s="39"/>
      <c r="BM415" s="39"/>
    </row>
    <row r="416" spans="1:65" x14ac:dyDescent="0.15">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c r="AM416" s="39"/>
      <c r="AN416" s="39"/>
      <c r="AO416" s="39"/>
      <c r="AP416" s="39"/>
      <c r="AQ416" s="39"/>
      <c r="AR416" s="39"/>
      <c r="AS416" s="39"/>
      <c r="AT416" s="39"/>
      <c r="AU416" s="39"/>
      <c r="AV416" s="39"/>
      <c r="AW416" s="39"/>
      <c r="AX416" s="39"/>
      <c r="AY416" s="39"/>
      <c r="AZ416" s="39"/>
      <c r="BA416" s="39"/>
      <c r="BB416" s="39"/>
      <c r="BC416" s="39"/>
      <c r="BD416" s="39"/>
      <c r="BE416" s="39"/>
      <c r="BF416" s="39"/>
      <c r="BG416" s="39"/>
      <c r="BH416" s="39"/>
      <c r="BI416" s="39"/>
      <c r="BJ416" s="39"/>
      <c r="BK416" s="39"/>
      <c r="BL416" s="39"/>
      <c r="BM416" s="39"/>
    </row>
    <row r="417" spans="1:65" x14ac:dyDescent="0.15">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c r="BC417" s="39"/>
      <c r="BD417" s="39"/>
      <c r="BE417" s="39"/>
      <c r="BF417" s="39"/>
      <c r="BG417" s="39"/>
      <c r="BH417" s="39"/>
      <c r="BI417" s="39"/>
      <c r="BJ417" s="39"/>
      <c r="BK417" s="39"/>
      <c r="BL417" s="39"/>
      <c r="BM417" s="39"/>
    </row>
    <row r="418" spans="1:65" x14ac:dyDescent="0.15">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c r="AP418" s="39"/>
      <c r="AQ418" s="39"/>
      <c r="AR418" s="39"/>
      <c r="AS418" s="39"/>
      <c r="AT418" s="39"/>
      <c r="AU418" s="39"/>
      <c r="AV418" s="39"/>
      <c r="AW418" s="39"/>
      <c r="AX418" s="39"/>
      <c r="AY418" s="39"/>
      <c r="AZ418" s="39"/>
      <c r="BA418" s="39"/>
      <c r="BB418" s="39"/>
      <c r="BC418" s="39"/>
      <c r="BD418" s="39"/>
      <c r="BE418" s="39"/>
      <c r="BF418" s="39"/>
      <c r="BG418" s="39"/>
      <c r="BH418" s="39"/>
      <c r="BI418" s="39"/>
      <c r="BJ418" s="39"/>
      <c r="BK418" s="39"/>
      <c r="BL418" s="39"/>
      <c r="BM418" s="39"/>
    </row>
    <row r="419" spans="1:65" x14ac:dyDescent="0.15">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c r="AM419" s="39"/>
      <c r="AN419" s="39"/>
      <c r="AO419" s="39"/>
      <c r="AP419" s="39"/>
      <c r="AQ419" s="39"/>
      <c r="AR419" s="39"/>
      <c r="AS419" s="39"/>
      <c r="AT419" s="39"/>
      <c r="AU419" s="39"/>
      <c r="AV419" s="39"/>
      <c r="AW419" s="39"/>
      <c r="AX419" s="39"/>
      <c r="AY419" s="39"/>
      <c r="AZ419" s="39"/>
      <c r="BA419" s="39"/>
      <c r="BB419" s="39"/>
      <c r="BC419" s="39"/>
      <c r="BD419" s="39"/>
      <c r="BE419" s="39"/>
      <c r="BF419" s="39"/>
      <c r="BG419" s="39"/>
      <c r="BH419" s="39"/>
      <c r="BI419" s="39"/>
      <c r="BJ419" s="39"/>
      <c r="BK419" s="39"/>
      <c r="BL419" s="39"/>
      <c r="BM419" s="39"/>
    </row>
    <row r="420" spans="1:65" x14ac:dyDescent="0.15">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c r="AM420" s="39"/>
      <c r="AN420" s="39"/>
      <c r="AO420" s="39"/>
      <c r="AP420" s="39"/>
      <c r="AQ420" s="39"/>
      <c r="AR420" s="39"/>
      <c r="AS420" s="39"/>
      <c r="AT420" s="39"/>
      <c r="AU420" s="39"/>
      <c r="AV420" s="39"/>
      <c r="AW420" s="39"/>
      <c r="AX420" s="39"/>
      <c r="AY420" s="39"/>
      <c r="AZ420" s="39"/>
      <c r="BA420" s="39"/>
      <c r="BB420" s="39"/>
      <c r="BC420" s="39"/>
      <c r="BD420" s="39"/>
      <c r="BE420" s="39"/>
      <c r="BF420" s="39"/>
      <c r="BG420" s="39"/>
      <c r="BH420" s="39"/>
      <c r="BI420" s="39"/>
      <c r="BJ420" s="39"/>
      <c r="BK420" s="39"/>
      <c r="BL420" s="39"/>
      <c r="BM420" s="39"/>
    </row>
    <row r="421" spans="1:65" x14ac:dyDescent="0.15">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c r="AM421" s="39"/>
      <c r="AN421" s="39"/>
      <c r="AO421" s="39"/>
      <c r="AP421" s="39"/>
      <c r="AQ421" s="39"/>
      <c r="AR421" s="39"/>
      <c r="AS421" s="39"/>
      <c r="AT421" s="39"/>
      <c r="AU421" s="39"/>
      <c r="AV421" s="39"/>
      <c r="AW421" s="39"/>
      <c r="AX421" s="39"/>
      <c r="AY421" s="39"/>
      <c r="AZ421" s="39"/>
      <c r="BA421" s="39"/>
      <c r="BB421" s="39"/>
      <c r="BC421" s="39"/>
      <c r="BD421" s="39"/>
      <c r="BE421" s="39"/>
      <c r="BF421" s="39"/>
      <c r="BG421" s="39"/>
      <c r="BH421" s="39"/>
      <c r="BI421" s="39"/>
      <c r="BJ421" s="39"/>
      <c r="BK421" s="39"/>
      <c r="BL421" s="39"/>
      <c r="BM421" s="39"/>
    </row>
    <row r="422" spans="1:65" x14ac:dyDescent="0.15">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row>
    <row r="423" spans="1:65" x14ac:dyDescent="0.15">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c r="BA423" s="39"/>
      <c r="BB423" s="39"/>
      <c r="BC423" s="39"/>
      <c r="BD423" s="39"/>
      <c r="BE423" s="39"/>
      <c r="BF423" s="39"/>
      <c r="BG423" s="39"/>
      <c r="BH423" s="39"/>
      <c r="BI423" s="39"/>
      <c r="BJ423" s="39"/>
      <c r="BK423" s="39"/>
      <c r="BL423" s="39"/>
      <c r="BM423" s="39"/>
    </row>
    <row r="424" spans="1:65" x14ac:dyDescent="0.15">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c r="AN424" s="39"/>
      <c r="AO424" s="39"/>
      <c r="AP424" s="39"/>
      <c r="AQ424" s="39"/>
      <c r="AR424" s="39"/>
      <c r="AS424" s="39"/>
      <c r="AT424" s="39"/>
      <c r="AU424" s="39"/>
      <c r="AV424" s="39"/>
      <c r="AW424" s="39"/>
      <c r="AX424" s="39"/>
      <c r="AY424" s="39"/>
      <c r="AZ424" s="39"/>
      <c r="BA424" s="39"/>
      <c r="BB424" s="39"/>
      <c r="BC424" s="39"/>
      <c r="BD424" s="39"/>
      <c r="BE424" s="39"/>
      <c r="BF424" s="39"/>
      <c r="BG424" s="39"/>
      <c r="BH424" s="39"/>
      <c r="BI424" s="39"/>
      <c r="BJ424" s="39"/>
      <c r="BK424" s="39"/>
      <c r="BL424" s="39"/>
      <c r="BM424" s="39"/>
    </row>
    <row r="425" spans="1:65" x14ac:dyDescent="0.1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c r="AN425" s="39"/>
      <c r="AO425" s="39"/>
      <c r="AP425" s="39"/>
      <c r="AQ425" s="39"/>
      <c r="AR425" s="39"/>
      <c r="AS425" s="39"/>
      <c r="AT425" s="39"/>
      <c r="AU425" s="39"/>
      <c r="AV425" s="39"/>
      <c r="AW425" s="39"/>
      <c r="AX425" s="39"/>
      <c r="AY425" s="39"/>
      <c r="AZ425" s="39"/>
      <c r="BA425" s="39"/>
      <c r="BB425" s="39"/>
      <c r="BC425" s="39"/>
      <c r="BD425" s="39"/>
      <c r="BE425" s="39"/>
      <c r="BF425" s="39"/>
      <c r="BG425" s="39"/>
      <c r="BH425" s="39"/>
      <c r="BI425" s="39"/>
      <c r="BJ425" s="39"/>
      <c r="BK425" s="39"/>
      <c r="BL425" s="39"/>
      <c r="BM425" s="39"/>
    </row>
    <row r="426" spans="1:65" x14ac:dyDescent="0.15">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c r="AM426" s="39"/>
      <c r="AN426" s="39"/>
      <c r="AO426" s="39"/>
      <c r="AP426" s="39"/>
      <c r="AQ426" s="39"/>
      <c r="AR426" s="39"/>
      <c r="AS426" s="39"/>
      <c r="AT426" s="39"/>
      <c r="AU426" s="39"/>
      <c r="AV426" s="39"/>
      <c r="AW426" s="39"/>
      <c r="AX426" s="39"/>
      <c r="AY426" s="39"/>
      <c r="AZ426" s="39"/>
      <c r="BA426" s="39"/>
      <c r="BB426" s="39"/>
      <c r="BC426" s="39"/>
      <c r="BD426" s="39"/>
      <c r="BE426" s="39"/>
      <c r="BF426" s="39"/>
      <c r="BG426" s="39"/>
      <c r="BH426" s="39"/>
      <c r="BI426" s="39"/>
      <c r="BJ426" s="39"/>
      <c r="BK426" s="39"/>
      <c r="BL426" s="39"/>
      <c r="BM426" s="39"/>
    </row>
    <row r="427" spans="1:65" x14ac:dyDescent="0.15">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c r="BA427" s="39"/>
      <c r="BB427" s="39"/>
      <c r="BC427" s="39"/>
      <c r="BD427" s="39"/>
      <c r="BE427" s="39"/>
      <c r="BF427" s="39"/>
      <c r="BG427" s="39"/>
      <c r="BH427" s="39"/>
      <c r="BI427" s="39"/>
      <c r="BJ427" s="39"/>
      <c r="BK427" s="39"/>
      <c r="BL427" s="39"/>
      <c r="BM427" s="39"/>
    </row>
    <row r="428" spans="1:65" x14ac:dyDescent="0.15">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c r="AP428" s="39"/>
      <c r="AQ428" s="39"/>
      <c r="AR428" s="39"/>
      <c r="AS428" s="39"/>
      <c r="AT428" s="39"/>
      <c r="AU428" s="39"/>
      <c r="AV428" s="39"/>
      <c r="AW428" s="39"/>
      <c r="AX428" s="39"/>
      <c r="AY428" s="39"/>
      <c r="AZ428" s="39"/>
      <c r="BA428" s="39"/>
      <c r="BB428" s="39"/>
      <c r="BC428" s="39"/>
      <c r="BD428" s="39"/>
      <c r="BE428" s="39"/>
      <c r="BF428" s="39"/>
      <c r="BG428" s="39"/>
      <c r="BH428" s="39"/>
      <c r="BI428" s="39"/>
      <c r="BJ428" s="39"/>
      <c r="BK428" s="39"/>
      <c r="BL428" s="39"/>
      <c r="BM428" s="39"/>
    </row>
    <row r="429" spans="1:65" x14ac:dyDescent="0.15">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c r="AM429" s="39"/>
      <c r="AN429" s="39"/>
      <c r="AO429" s="39"/>
      <c r="AP429" s="39"/>
      <c r="AQ429" s="39"/>
      <c r="AR429" s="39"/>
      <c r="AS429" s="39"/>
      <c r="AT429" s="39"/>
      <c r="AU429" s="39"/>
      <c r="AV429" s="39"/>
      <c r="AW429" s="39"/>
      <c r="AX429" s="39"/>
      <c r="AY429" s="39"/>
      <c r="AZ429" s="39"/>
      <c r="BA429" s="39"/>
      <c r="BB429" s="39"/>
      <c r="BC429" s="39"/>
      <c r="BD429" s="39"/>
      <c r="BE429" s="39"/>
      <c r="BF429" s="39"/>
      <c r="BG429" s="39"/>
      <c r="BH429" s="39"/>
      <c r="BI429" s="39"/>
      <c r="BJ429" s="39"/>
      <c r="BK429" s="39"/>
      <c r="BL429" s="39"/>
      <c r="BM429" s="39"/>
    </row>
    <row r="430" spans="1:65" x14ac:dyDescent="0.15">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c r="AM430" s="39"/>
      <c r="AN430" s="39"/>
      <c r="AO430" s="39"/>
      <c r="AP430" s="39"/>
      <c r="AQ430" s="39"/>
      <c r="AR430" s="39"/>
      <c r="AS430" s="39"/>
      <c r="AT430" s="39"/>
      <c r="AU430" s="39"/>
      <c r="AV430" s="39"/>
      <c r="AW430" s="39"/>
      <c r="AX430" s="39"/>
      <c r="AY430" s="39"/>
      <c r="AZ430" s="39"/>
      <c r="BA430" s="39"/>
      <c r="BB430" s="39"/>
      <c r="BC430" s="39"/>
      <c r="BD430" s="39"/>
      <c r="BE430" s="39"/>
      <c r="BF430" s="39"/>
      <c r="BG430" s="39"/>
      <c r="BH430" s="39"/>
      <c r="BI430" s="39"/>
      <c r="BJ430" s="39"/>
      <c r="BK430" s="39"/>
      <c r="BL430" s="39"/>
      <c r="BM430" s="39"/>
    </row>
    <row r="431" spans="1:65" x14ac:dyDescent="0.15">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c r="AM431" s="39"/>
      <c r="AN431" s="39"/>
      <c r="AO431" s="39"/>
      <c r="AP431" s="39"/>
      <c r="AQ431" s="39"/>
      <c r="AR431" s="39"/>
      <c r="AS431" s="39"/>
      <c r="AT431" s="39"/>
      <c r="AU431" s="39"/>
      <c r="AV431" s="39"/>
      <c r="AW431" s="39"/>
      <c r="AX431" s="39"/>
      <c r="AY431" s="39"/>
      <c r="AZ431" s="39"/>
      <c r="BA431" s="39"/>
      <c r="BB431" s="39"/>
      <c r="BC431" s="39"/>
      <c r="BD431" s="39"/>
      <c r="BE431" s="39"/>
      <c r="BF431" s="39"/>
      <c r="BG431" s="39"/>
      <c r="BH431" s="39"/>
      <c r="BI431" s="39"/>
      <c r="BJ431" s="39"/>
      <c r="BK431" s="39"/>
      <c r="BL431" s="39"/>
      <c r="BM431" s="39"/>
    </row>
    <row r="432" spans="1:65" x14ac:dyDescent="0.15">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c r="AM432" s="39"/>
      <c r="AN432" s="39"/>
      <c r="AO432" s="39"/>
      <c r="AP432" s="39"/>
      <c r="AQ432" s="39"/>
      <c r="AR432" s="39"/>
      <c r="AS432" s="39"/>
      <c r="AT432" s="39"/>
      <c r="AU432" s="39"/>
      <c r="AV432" s="39"/>
      <c r="AW432" s="39"/>
      <c r="AX432" s="39"/>
      <c r="AY432" s="39"/>
      <c r="AZ432" s="39"/>
      <c r="BA432" s="39"/>
      <c r="BB432" s="39"/>
      <c r="BC432" s="39"/>
      <c r="BD432" s="39"/>
      <c r="BE432" s="39"/>
      <c r="BF432" s="39"/>
      <c r="BG432" s="39"/>
      <c r="BH432" s="39"/>
      <c r="BI432" s="39"/>
      <c r="BJ432" s="39"/>
      <c r="BK432" s="39"/>
      <c r="BL432" s="39"/>
      <c r="BM432" s="39"/>
    </row>
    <row r="433" spans="1:65" x14ac:dyDescent="0.15">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c r="AM433" s="39"/>
      <c r="AN433" s="39"/>
      <c r="AO433" s="39"/>
      <c r="AP433" s="39"/>
      <c r="AQ433" s="39"/>
      <c r="AR433" s="39"/>
      <c r="AS433" s="39"/>
      <c r="AT433" s="39"/>
      <c r="AU433" s="39"/>
      <c r="AV433" s="39"/>
      <c r="AW433" s="39"/>
      <c r="AX433" s="39"/>
      <c r="AY433" s="39"/>
      <c r="AZ433" s="39"/>
      <c r="BA433" s="39"/>
      <c r="BB433" s="39"/>
      <c r="BC433" s="39"/>
      <c r="BD433" s="39"/>
      <c r="BE433" s="39"/>
      <c r="BF433" s="39"/>
      <c r="BG433" s="39"/>
      <c r="BH433" s="39"/>
      <c r="BI433" s="39"/>
      <c r="BJ433" s="39"/>
      <c r="BK433" s="39"/>
      <c r="BL433" s="39"/>
      <c r="BM433" s="39"/>
    </row>
    <row r="434" spans="1:65" x14ac:dyDescent="0.15">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B434" s="39"/>
      <c r="BC434" s="39"/>
      <c r="BD434" s="39"/>
      <c r="BE434" s="39"/>
      <c r="BF434" s="39"/>
      <c r="BG434" s="39"/>
      <c r="BH434" s="39"/>
      <c r="BI434" s="39"/>
      <c r="BJ434" s="39"/>
      <c r="BK434" s="39"/>
      <c r="BL434" s="39"/>
      <c r="BM434" s="39"/>
    </row>
    <row r="435" spans="1:65" x14ac:dyDescent="0.1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c r="AP435" s="39"/>
      <c r="AQ435" s="39"/>
      <c r="AR435" s="39"/>
      <c r="AS435" s="39"/>
      <c r="AT435" s="39"/>
      <c r="AU435" s="39"/>
      <c r="AV435" s="39"/>
      <c r="AW435" s="39"/>
      <c r="AX435" s="39"/>
      <c r="AY435" s="39"/>
      <c r="AZ435" s="39"/>
      <c r="BA435" s="39"/>
      <c r="BB435" s="39"/>
      <c r="BC435" s="39"/>
      <c r="BD435" s="39"/>
      <c r="BE435" s="39"/>
      <c r="BF435" s="39"/>
      <c r="BG435" s="39"/>
      <c r="BH435" s="39"/>
      <c r="BI435" s="39"/>
      <c r="BJ435" s="39"/>
      <c r="BK435" s="39"/>
      <c r="BL435" s="39"/>
      <c r="BM435" s="39"/>
    </row>
    <row r="436" spans="1:65" x14ac:dyDescent="0.15">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c r="AM436" s="39"/>
      <c r="AN436" s="39"/>
      <c r="AO436" s="39"/>
      <c r="AP436" s="39"/>
      <c r="AQ436" s="39"/>
      <c r="AR436" s="39"/>
      <c r="AS436" s="39"/>
      <c r="AT436" s="39"/>
      <c r="AU436" s="39"/>
      <c r="AV436" s="39"/>
      <c r="AW436" s="39"/>
      <c r="AX436" s="39"/>
      <c r="AY436" s="39"/>
      <c r="AZ436" s="39"/>
      <c r="BA436" s="39"/>
      <c r="BB436" s="39"/>
      <c r="BC436" s="39"/>
      <c r="BD436" s="39"/>
      <c r="BE436" s="39"/>
      <c r="BF436" s="39"/>
      <c r="BG436" s="39"/>
      <c r="BH436" s="39"/>
      <c r="BI436" s="39"/>
      <c r="BJ436" s="39"/>
      <c r="BK436" s="39"/>
      <c r="BL436" s="39"/>
      <c r="BM436" s="39"/>
    </row>
    <row r="437" spans="1:65" x14ac:dyDescent="0.15">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c r="AM437" s="39"/>
      <c r="AN437" s="39"/>
      <c r="AO437" s="39"/>
      <c r="AP437" s="39"/>
      <c r="AQ437" s="39"/>
      <c r="AR437" s="39"/>
      <c r="AS437" s="39"/>
      <c r="AT437" s="39"/>
      <c r="AU437" s="39"/>
      <c r="AV437" s="39"/>
      <c r="AW437" s="39"/>
      <c r="AX437" s="39"/>
      <c r="AY437" s="39"/>
      <c r="AZ437" s="39"/>
      <c r="BA437" s="39"/>
      <c r="BB437" s="39"/>
      <c r="BC437" s="39"/>
      <c r="BD437" s="39"/>
      <c r="BE437" s="39"/>
      <c r="BF437" s="39"/>
      <c r="BG437" s="39"/>
      <c r="BH437" s="39"/>
      <c r="BI437" s="39"/>
      <c r="BJ437" s="39"/>
      <c r="BK437" s="39"/>
      <c r="BL437" s="39"/>
      <c r="BM437" s="39"/>
    </row>
    <row r="438" spans="1:65" x14ac:dyDescent="0.15">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c r="AM438" s="39"/>
      <c r="AN438" s="39"/>
      <c r="AO438" s="39"/>
      <c r="AP438" s="39"/>
      <c r="AQ438" s="39"/>
      <c r="AR438" s="39"/>
      <c r="AS438" s="39"/>
      <c r="AT438" s="39"/>
      <c r="AU438" s="39"/>
      <c r="AV438" s="39"/>
      <c r="AW438" s="39"/>
      <c r="AX438" s="39"/>
      <c r="AY438" s="39"/>
      <c r="AZ438" s="39"/>
      <c r="BA438" s="39"/>
      <c r="BB438" s="39"/>
      <c r="BC438" s="39"/>
      <c r="BD438" s="39"/>
      <c r="BE438" s="39"/>
      <c r="BF438" s="39"/>
      <c r="BG438" s="39"/>
      <c r="BH438" s="39"/>
      <c r="BI438" s="39"/>
      <c r="BJ438" s="39"/>
      <c r="BK438" s="39"/>
      <c r="BL438" s="39"/>
      <c r="BM438" s="39"/>
    </row>
    <row r="439" spans="1:65" x14ac:dyDescent="0.15">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c r="AM439" s="39"/>
      <c r="AN439" s="39"/>
      <c r="AO439" s="39"/>
      <c r="AP439" s="39"/>
      <c r="AQ439" s="39"/>
      <c r="AR439" s="39"/>
      <c r="AS439" s="39"/>
      <c r="AT439" s="39"/>
      <c r="AU439" s="39"/>
      <c r="AV439" s="39"/>
      <c r="AW439" s="39"/>
      <c r="AX439" s="39"/>
      <c r="AY439" s="39"/>
      <c r="AZ439" s="39"/>
      <c r="BA439" s="39"/>
      <c r="BB439" s="39"/>
      <c r="BC439" s="39"/>
      <c r="BD439" s="39"/>
      <c r="BE439" s="39"/>
      <c r="BF439" s="39"/>
      <c r="BG439" s="39"/>
      <c r="BH439" s="39"/>
      <c r="BI439" s="39"/>
      <c r="BJ439" s="39"/>
      <c r="BK439" s="39"/>
      <c r="BL439" s="39"/>
      <c r="BM439" s="39"/>
    </row>
    <row r="440" spans="1:65" x14ac:dyDescent="0.15">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c r="AM440" s="39"/>
      <c r="AN440" s="39"/>
      <c r="AO440" s="39"/>
      <c r="AP440" s="39"/>
      <c r="AQ440" s="39"/>
      <c r="AR440" s="39"/>
      <c r="AS440" s="39"/>
      <c r="AT440" s="39"/>
      <c r="AU440" s="39"/>
      <c r="AV440" s="39"/>
      <c r="AW440" s="39"/>
      <c r="AX440" s="39"/>
      <c r="AY440" s="39"/>
      <c r="AZ440" s="39"/>
      <c r="BA440" s="39"/>
      <c r="BB440" s="39"/>
      <c r="BC440" s="39"/>
      <c r="BD440" s="39"/>
      <c r="BE440" s="39"/>
      <c r="BF440" s="39"/>
      <c r="BG440" s="39"/>
      <c r="BH440" s="39"/>
      <c r="BI440" s="39"/>
      <c r="BJ440" s="39"/>
      <c r="BK440" s="39"/>
      <c r="BL440" s="39"/>
      <c r="BM440" s="39"/>
    </row>
    <row r="441" spans="1:65" x14ac:dyDescent="0.15">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B441" s="39"/>
      <c r="BC441" s="39"/>
      <c r="BD441" s="39"/>
      <c r="BE441" s="39"/>
      <c r="BF441" s="39"/>
      <c r="BG441" s="39"/>
      <c r="BH441" s="39"/>
      <c r="BI441" s="39"/>
      <c r="BJ441" s="39"/>
      <c r="BK441" s="39"/>
      <c r="BL441" s="39"/>
      <c r="BM441" s="39"/>
    </row>
    <row r="442" spans="1:65" x14ac:dyDescent="0.15">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c r="AP442" s="39"/>
      <c r="AQ442" s="39"/>
      <c r="AR442" s="39"/>
      <c r="AS442" s="39"/>
      <c r="AT442" s="39"/>
      <c r="AU442" s="39"/>
      <c r="AV442" s="39"/>
      <c r="AW442" s="39"/>
      <c r="AX442" s="39"/>
      <c r="AY442" s="39"/>
      <c r="AZ442" s="39"/>
      <c r="BA442" s="39"/>
      <c r="BB442" s="39"/>
      <c r="BC442" s="39"/>
      <c r="BD442" s="39"/>
      <c r="BE442" s="39"/>
      <c r="BF442" s="39"/>
      <c r="BG442" s="39"/>
      <c r="BH442" s="39"/>
      <c r="BI442" s="39"/>
      <c r="BJ442" s="39"/>
      <c r="BK442" s="39"/>
      <c r="BL442" s="39"/>
      <c r="BM442" s="39"/>
    </row>
    <row r="443" spans="1:65" x14ac:dyDescent="0.15">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c r="AM443" s="39"/>
      <c r="AN443" s="39"/>
      <c r="AO443" s="39"/>
      <c r="AP443" s="39"/>
      <c r="AQ443" s="39"/>
      <c r="AR443" s="39"/>
      <c r="AS443" s="39"/>
      <c r="AT443" s="39"/>
      <c r="AU443" s="39"/>
      <c r="AV443" s="39"/>
      <c r="AW443" s="39"/>
      <c r="AX443" s="39"/>
      <c r="AY443" s="39"/>
      <c r="AZ443" s="39"/>
      <c r="BA443" s="39"/>
      <c r="BB443" s="39"/>
      <c r="BC443" s="39"/>
      <c r="BD443" s="39"/>
      <c r="BE443" s="39"/>
      <c r="BF443" s="39"/>
      <c r="BG443" s="39"/>
      <c r="BH443" s="39"/>
      <c r="BI443" s="39"/>
      <c r="BJ443" s="39"/>
      <c r="BK443" s="39"/>
      <c r="BL443" s="39"/>
      <c r="BM443" s="39"/>
    </row>
    <row r="444" spans="1:65" x14ac:dyDescent="0.15">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c r="AM444" s="39"/>
      <c r="AN444" s="39"/>
      <c r="AO444" s="39"/>
      <c r="AP444" s="39"/>
      <c r="AQ444" s="39"/>
      <c r="AR444" s="39"/>
      <c r="AS444" s="39"/>
      <c r="AT444" s="39"/>
      <c r="AU444" s="39"/>
      <c r="AV444" s="39"/>
      <c r="AW444" s="39"/>
      <c r="AX444" s="39"/>
      <c r="AY444" s="39"/>
      <c r="AZ444" s="39"/>
      <c r="BA444" s="39"/>
      <c r="BB444" s="39"/>
      <c r="BC444" s="39"/>
      <c r="BD444" s="39"/>
      <c r="BE444" s="39"/>
      <c r="BF444" s="39"/>
      <c r="BG444" s="39"/>
      <c r="BH444" s="39"/>
      <c r="BI444" s="39"/>
      <c r="BJ444" s="39"/>
      <c r="BK444" s="39"/>
      <c r="BL444" s="39"/>
      <c r="BM444" s="39"/>
    </row>
    <row r="445" spans="1:65" x14ac:dyDescent="0.1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c r="AM445" s="39"/>
      <c r="AN445" s="39"/>
      <c r="AO445" s="39"/>
      <c r="AP445" s="39"/>
      <c r="AQ445" s="39"/>
      <c r="AR445" s="39"/>
      <c r="AS445" s="39"/>
      <c r="AT445" s="39"/>
      <c r="AU445" s="39"/>
      <c r="AV445" s="39"/>
      <c r="AW445" s="39"/>
      <c r="AX445" s="39"/>
      <c r="AY445" s="39"/>
      <c r="AZ445" s="39"/>
      <c r="BA445" s="39"/>
      <c r="BB445" s="39"/>
      <c r="BC445" s="39"/>
      <c r="BD445" s="39"/>
      <c r="BE445" s="39"/>
      <c r="BF445" s="39"/>
      <c r="BG445" s="39"/>
      <c r="BH445" s="39"/>
      <c r="BI445" s="39"/>
      <c r="BJ445" s="39"/>
      <c r="BK445" s="39"/>
      <c r="BL445" s="39"/>
      <c r="BM445" s="39"/>
    </row>
    <row r="446" spans="1:65" x14ac:dyDescent="0.15">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c r="AN446" s="39"/>
      <c r="AO446" s="39"/>
      <c r="AP446" s="39"/>
      <c r="AQ446" s="39"/>
      <c r="AR446" s="39"/>
      <c r="AS446" s="39"/>
      <c r="AT446" s="39"/>
      <c r="AU446" s="39"/>
      <c r="AV446" s="39"/>
      <c r="AW446" s="39"/>
      <c r="AX446" s="39"/>
      <c r="AY446" s="39"/>
      <c r="AZ446" s="39"/>
      <c r="BA446" s="39"/>
      <c r="BB446" s="39"/>
      <c r="BC446" s="39"/>
      <c r="BD446" s="39"/>
      <c r="BE446" s="39"/>
      <c r="BF446" s="39"/>
      <c r="BG446" s="39"/>
      <c r="BH446" s="39"/>
      <c r="BI446" s="39"/>
      <c r="BJ446" s="39"/>
      <c r="BK446" s="39"/>
      <c r="BL446" s="39"/>
      <c r="BM446" s="39"/>
    </row>
    <row r="447" spans="1:65" x14ac:dyDescent="0.15">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c r="AN447" s="39"/>
      <c r="AO447" s="39"/>
      <c r="AP447" s="39"/>
      <c r="AQ447" s="39"/>
      <c r="AR447" s="39"/>
      <c r="AS447" s="39"/>
      <c r="AT447" s="39"/>
      <c r="AU447" s="39"/>
      <c r="AV447" s="39"/>
      <c r="AW447" s="39"/>
      <c r="AX447" s="39"/>
      <c r="AY447" s="39"/>
      <c r="AZ447" s="39"/>
      <c r="BA447" s="39"/>
      <c r="BB447" s="39"/>
      <c r="BC447" s="39"/>
      <c r="BD447" s="39"/>
      <c r="BE447" s="39"/>
      <c r="BF447" s="39"/>
      <c r="BG447" s="39"/>
      <c r="BH447" s="39"/>
      <c r="BI447" s="39"/>
      <c r="BJ447" s="39"/>
      <c r="BK447" s="39"/>
      <c r="BL447" s="39"/>
      <c r="BM447" s="39"/>
    </row>
    <row r="448" spans="1:65" x14ac:dyDescent="0.15">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c r="AM448" s="39"/>
      <c r="AN448" s="39"/>
      <c r="AO448" s="39"/>
      <c r="AP448" s="39"/>
      <c r="AQ448" s="39"/>
      <c r="AR448" s="39"/>
      <c r="AS448" s="39"/>
      <c r="AT448" s="39"/>
      <c r="AU448" s="39"/>
      <c r="AV448" s="39"/>
      <c r="AW448" s="39"/>
      <c r="AX448" s="39"/>
      <c r="AY448" s="39"/>
      <c r="AZ448" s="39"/>
      <c r="BA448" s="39"/>
      <c r="BB448" s="39"/>
      <c r="BC448" s="39"/>
      <c r="BD448" s="39"/>
      <c r="BE448" s="39"/>
      <c r="BF448" s="39"/>
      <c r="BG448" s="39"/>
      <c r="BH448" s="39"/>
      <c r="BI448" s="39"/>
      <c r="BJ448" s="39"/>
      <c r="BK448" s="39"/>
      <c r="BL448" s="39"/>
      <c r="BM448" s="39"/>
    </row>
    <row r="449" spans="1:65" x14ac:dyDescent="0.15">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c r="AM449" s="39"/>
      <c r="AN449" s="39"/>
      <c r="AO449" s="39"/>
      <c r="AP449" s="39"/>
      <c r="AQ449" s="39"/>
      <c r="AR449" s="39"/>
      <c r="AS449" s="39"/>
      <c r="AT449" s="39"/>
      <c r="AU449" s="39"/>
      <c r="AV449" s="39"/>
      <c r="AW449" s="39"/>
      <c r="AX449" s="39"/>
      <c r="AY449" s="39"/>
      <c r="AZ449" s="39"/>
      <c r="BA449" s="39"/>
      <c r="BB449" s="39"/>
      <c r="BC449" s="39"/>
      <c r="BD449" s="39"/>
      <c r="BE449" s="39"/>
      <c r="BF449" s="39"/>
      <c r="BG449" s="39"/>
      <c r="BH449" s="39"/>
      <c r="BI449" s="39"/>
      <c r="BJ449" s="39"/>
      <c r="BK449" s="39"/>
      <c r="BL449" s="39"/>
      <c r="BM449" s="39"/>
    </row>
    <row r="450" spans="1:65" x14ac:dyDescent="0.15">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c r="AM450" s="39"/>
      <c r="AN450" s="39"/>
      <c r="AO450" s="39"/>
      <c r="AP450" s="39"/>
      <c r="AQ450" s="39"/>
      <c r="AR450" s="39"/>
      <c r="AS450" s="39"/>
      <c r="AT450" s="39"/>
      <c r="AU450" s="39"/>
      <c r="AV450" s="39"/>
      <c r="AW450" s="39"/>
      <c r="AX450" s="39"/>
      <c r="AY450" s="39"/>
      <c r="AZ450" s="39"/>
      <c r="BA450" s="39"/>
      <c r="BB450" s="39"/>
      <c r="BC450" s="39"/>
      <c r="BD450" s="39"/>
      <c r="BE450" s="39"/>
      <c r="BF450" s="39"/>
      <c r="BG450" s="39"/>
      <c r="BH450" s="39"/>
      <c r="BI450" s="39"/>
      <c r="BJ450" s="39"/>
      <c r="BK450" s="39"/>
      <c r="BL450" s="39"/>
      <c r="BM450" s="39"/>
    </row>
    <row r="451" spans="1:65" x14ac:dyDescent="0.15">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B451" s="39"/>
      <c r="BC451" s="39"/>
      <c r="BD451" s="39"/>
      <c r="BE451" s="39"/>
      <c r="BF451" s="39"/>
      <c r="BG451" s="39"/>
      <c r="BH451" s="39"/>
      <c r="BI451" s="39"/>
      <c r="BJ451" s="39"/>
      <c r="BK451" s="39"/>
      <c r="BL451" s="39"/>
      <c r="BM451" s="39"/>
    </row>
    <row r="452" spans="1:65" x14ac:dyDescent="0.15">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c r="AP452" s="39"/>
      <c r="AQ452" s="39"/>
      <c r="AR452" s="39"/>
      <c r="AS452" s="39"/>
      <c r="AT452" s="39"/>
      <c r="AU452" s="39"/>
      <c r="AV452" s="39"/>
      <c r="AW452" s="39"/>
      <c r="AX452" s="39"/>
      <c r="AY452" s="39"/>
      <c r="AZ452" s="39"/>
      <c r="BA452" s="39"/>
      <c r="BB452" s="39"/>
      <c r="BC452" s="39"/>
      <c r="BD452" s="39"/>
      <c r="BE452" s="39"/>
      <c r="BF452" s="39"/>
      <c r="BG452" s="39"/>
      <c r="BH452" s="39"/>
      <c r="BI452" s="39"/>
      <c r="BJ452" s="39"/>
      <c r="BK452" s="39"/>
      <c r="BL452" s="39"/>
      <c r="BM452" s="39"/>
    </row>
    <row r="453" spans="1:65" x14ac:dyDescent="0.15">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c r="AM453" s="39"/>
      <c r="AN453" s="39"/>
      <c r="AO453" s="39"/>
      <c r="AP453" s="39"/>
      <c r="AQ453" s="39"/>
      <c r="AR453" s="39"/>
      <c r="AS453" s="39"/>
      <c r="AT453" s="39"/>
      <c r="AU453" s="39"/>
      <c r="AV453" s="39"/>
      <c r="AW453" s="39"/>
      <c r="AX453" s="39"/>
      <c r="AY453" s="39"/>
      <c r="AZ453" s="39"/>
      <c r="BA453" s="39"/>
      <c r="BB453" s="39"/>
      <c r="BC453" s="39"/>
      <c r="BD453" s="39"/>
      <c r="BE453" s="39"/>
      <c r="BF453" s="39"/>
      <c r="BG453" s="39"/>
      <c r="BH453" s="39"/>
      <c r="BI453" s="39"/>
      <c r="BJ453" s="39"/>
      <c r="BK453" s="39"/>
      <c r="BL453" s="39"/>
      <c r="BM453" s="39"/>
    </row>
    <row r="454" spans="1:65" x14ac:dyDescent="0.15">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c r="AM454" s="39"/>
      <c r="AN454" s="39"/>
      <c r="AO454" s="39"/>
      <c r="AP454" s="39"/>
      <c r="AQ454" s="39"/>
      <c r="AR454" s="39"/>
      <c r="AS454" s="39"/>
      <c r="AT454" s="39"/>
      <c r="AU454" s="39"/>
      <c r="AV454" s="39"/>
      <c r="AW454" s="39"/>
      <c r="AX454" s="39"/>
      <c r="AY454" s="39"/>
      <c r="AZ454" s="39"/>
      <c r="BA454" s="39"/>
      <c r="BB454" s="39"/>
      <c r="BC454" s="39"/>
      <c r="BD454" s="39"/>
      <c r="BE454" s="39"/>
      <c r="BF454" s="39"/>
      <c r="BG454" s="39"/>
      <c r="BH454" s="39"/>
      <c r="BI454" s="39"/>
      <c r="BJ454" s="39"/>
      <c r="BK454" s="39"/>
      <c r="BL454" s="39"/>
      <c r="BM454" s="39"/>
    </row>
    <row r="455" spans="1:65" x14ac:dyDescent="0.1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c r="AM455" s="39"/>
      <c r="AN455" s="39"/>
      <c r="AO455" s="39"/>
      <c r="AP455" s="39"/>
      <c r="AQ455" s="39"/>
      <c r="AR455" s="39"/>
      <c r="AS455" s="39"/>
      <c r="AT455" s="39"/>
      <c r="AU455" s="39"/>
      <c r="AV455" s="39"/>
      <c r="AW455" s="39"/>
      <c r="AX455" s="39"/>
      <c r="AY455" s="39"/>
      <c r="AZ455" s="39"/>
      <c r="BA455" s="39"/>
      <c r="BB455" s="39"/>
      <c r="BC455" s="39"/>
      <c r="BD455" s="39"/>
      <c r="BE455" s="39"/>
      <c r="BF455" s="39"/>
      <c r="BG455" s="39"/>
      <c r="BH455" s="39"/>
      <c r="BI455" s="39"/>
      <c r="BJ455" s="39"/>
      <c r="BK455" s="39"/>
      <c r="BL455" s="39"/>
      <c r="BM455" s="39"/>
    </row>
    <row r="456" spans="1:65" x14ac:dyDescent="0.15">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c r="BA456" s="39"/>
      <c r="BB456" s="39"/>
      <c r="BC456" s="39"/>
      <c r="BD456" s="39"/>
      <c r="BE456" s="39"/>
      <c r="BF456" s="39"/>
      <c r="BG456" s="39"/>
      <c r="BH456" s="39"/>
      <c r="BI456" s="39"/>
      <c r="BJ456" s="39"/>
      <c r="BK456" s="39"/>
      <c r="BL456" s="39"/>
      <c r="BM456" s="39"/>
    </row>
    <row r="457" spans="1:65" x14ac:dyDescent="0.15">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c r="AP457" s="39"/>
      <c r="AQ457" s="39"/>
      <c r="AR457" s="39"/>
      <c r="AS457" s="39"/>
      <c r="AT457" s="39"/>
      <c r="AU457" s="39"/>
      <c r="AV457" s="39"/>
      <c r="AW457" s="39"/>
      <c r="AX457" s="39"/>
      <c r="AY457" s="39"/>
      <c r="AZ457" s="39"/>
      <c r="BA457" s="39"/>
      <c r="BB457" s="39"/>
      <c r="BC457" s="39"/>
      <c r="BD457" s="39"/>
      <c r="BE457" s="39"/>
      <c r="BF457" s="39"/>
      <c r="BG457" s="39"/>
      <c r="BH457" s="39"/>
      <c r="BI457" s="39"/>
      <c r="BJ457" s="39"/>
      <c r="BK457" s="39"/>
      <c r="BL457" s="39"/>
      <c r="BM457" s="39"/>
    </row>
    <row r="458" spans="1:65" x14ac:dyDescent="0.15">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c r="AM458" s="39"/>
      <c r="AN458" s="39"/>
      <c r="AO458" s="39"/>
      <c r="AP458" s="39"/>
      <c r="AQ458" s="39"/>
      <c r="AR458" s="39"/>
      <c r="AS458" s="39"/>
      <c r="AT458" s="39"/>
      <c r="AU458" s="39"/>
      <c r="AV458" s="39"/>
      <c r="AW458" s="39"/>
      <c r="AX458" s="39"/>
      <c r="AY458" s="39"/>
      <c r="AZ458" s="39"/>
      <c r="BA458" s="39"/>
      <c r="BB458" s="39"/>
      <c r="BC458" s="39"/>
      <c r="BD458" s="39"/>
      <c r="BE458" s="39"/>
      <c r="BF458" s="39"/>
      <c r="BG458" s="39"/>
      <c r="BH458" s="39"/>
      <c r="BI458" s="39"/>
      <c r="BJ458" s="39"/>
      <c r="BK458" s="39"/>
      <c r="BL458" s="39"/>
      <c r="BM458" s="39"/>
    </row>
    <row r="459" spans="1:65" x14ac:dyDescent="0.15">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c r="AM459" s="39"/>
      <c r="AN459" s="39"/>
      <c r="AO459" s="39"/>
      <c r="AP459" s="39"/>
      <c r="AQ459" s="39"/>
      <c r="AR459" s="39"/>
      <c r="AS459" s="39"/>
      <c r="AT459" s="39"/>
      <c r="AU459" s="39"/>
      <c r="AV459" s="39"/>
      <c r="AW459" s="39"/>
      <c r="AX459" s="39"/>
      <c r="AY459" s="39"/>
      <c r="AZ459" s="39"/>
      <c r="BA459" s="39"/>
      <c r="BB459" s="39"/>
      <c r="BC459" s="39"/>
      <c r="BD459" s="39"/>
      <c r="BE459" s="39"/>
      <c r="BF459" s="39"/>
      <c r="BG459" s="39"/>
      <c r="BH459" s="39"/>
      <c r="BI459" s="39"/>
      <c r="BJ459" s="39"/>
      <c r="BK459" s="39"/>
      <c r="BL459" s="39"/>
      <c r="BM459" s="39"/>
    </row>
    <row r="460" spans="1:65" x14ac:dyDescent="0.15">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c r="AM460" s="39"/>
      <c r="AN460" s="39"/>
      <c r="AO460" s="39"/>
      <c r="AP460" s="39"/>
      <c r="AQ460" s="39"/>
      <c r="AR460" s="39"/>
      <c r="AS460" s="39"/>
      <c r="AT460" s="39"/>
      <c r="AU460" s="39"/>
      <c r="AV460" s="39"/>
      <c r="AW460" s="39"/>
      <c r="AX460" s="39"/>
      <c r="AY460" s="39"/>
      <c r="AZ460" s="39"/>
      <c r="BA460" s="39"/>
      <c r="BB460" s="39"/>
      <c r="BC460" s="39"/>
      <c r="BD460" s="39"/>
      <c r="BE460" s="39"/>
      <c r="BF460" s="39"/>
      <c r="BG460" s="39"/>
      <c r="BH460" s="39"/>
      <c r="BI460" s="39"/>
      <c r="BJ460" s="39"/>
      <c r="BK460" s="39"/>
      <c r="BL460" s="39"/>
      <c r="BM460" s="39"/>
    </row>
    <row r="461" spans="1:65" x14ac:dyDescent="0.15">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c r="AM461" s="39"/>
      <c r="AN461" s="39"/>
      <c r="AO461" s="39"/>
      <c r="AP461" s="39"/>
      <c r="AQ461" s="39"/>
      <c r="AR461" s="39"/>
      <c r="AS461" s="39"/>
      <c r="AT461" s="39"/>
      <c r="AU461" s="39"/>
      <c r="AV461" s="39"/>
      <c r="AW461" s="39"/>
      <c r="AX461" s="39"/>
      <c r="AY461" s="39"/>
      <c r="AZ461" s="39"/>
      <c r="BA461" s="39"/>
      <c r="BB461" s="39"/>
      <c r="BC461" s="39"/>
      <c r="BD461" s="39"/>
      <c r="BE461" s="39"/>
      <c r="BF461" s="39"/>
      <c r="BG461" s="39"/>
      <c r="BH461" s="39"/>
      <c r="BI461" s="39"/>
      <c r="BJ461" s="39"/>
      <c r="BK461" s="39"/>
      <c r="BL461" s="39"/>
      <c r="BM461" s="39"/>
    </row>
    <row r="462" spans="1:65" x14ac:dyDescent="0.15">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c r="AM462" s="39"/>
      <c r="AN462" s="39"/>
      <c r="AO462" s="39"/>
      <c r="AP462" s="39"/>
      <c r="AQ462" s="39"/>
      <c r="AR462" s="39"/>
      <c r="AS462" s="39"/>
      <c r="AT462" s="39"/>
      <c r="AU462" s="39"/>
      <c r="AV462" s="39"/>
      <c r="AW462" s="39"/>
      <c r="AX462" s="39"/>
      <c r="AY462" s="39"/>
      <c r="AZ462" s="39"/>
      <c r="BA462" s="39"/>
      <c r="BB462" s="39"/>
      <c r="BC462" s="39"/>
      <c r="BD462" s="39"/>
      <c r="BE462" s="39"/>
      <c r="BF462" s="39"/>
      <c r="BG462" s="39"/>
      <c r="BH462" s="39"/>
      <c r="BI462" s="39"/>
      <c r="BJ462" s="39"/>
      <c r="BK462" s="39"/>
      <c r="BL462" s="39"/>
      <c r="BM462" s="39"/>
    </row>
    <row r="463" spans="1:65" x14ac:dyDescent="0.15">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c r="AP463" s="39"/>
      <c r="AQ463" s="39"/>
      <c r="AR463" s="39"/>
      <c r="AS463" s="39"/>
      <c r="AT463" s="39"/>
      <c r="AU463" s="39"/>
      <c r="AV463" s="39"/>
      <c r="AW463" s="39"/>
      <c r="AX463" s="39"/>
      <c r="AY463" s="39"/>
      <c r="AZ463" s="39"/>
      <c r="BA463" s="39"/>
      <c r="BB463" s="39"/>
      <c r="BC463" s="39"/>
      <c r="BD463" s="39"/>
      <c r="BE463" s="39"/>
      <c r="BF463" s="39"/>
      <c r="BG463" s="39"/>
      <c r="BH463" s="39"/>
      <c r="BI463" s="39"/>
      <c r="BJ463" s="39"/>
      <c r="BK463" s="39"/>
      <c r="BL463" s="39"/>
      <c r="BM463" s="39"/>
    </row>
    <row r="464" spans="1:65" x14ac:dyDescent="0.15">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c r="AM464" s="39"/>
      <c r="AN464" s="39"/>
      <c r="AO464" s="39"/>
      <c r="AP464" s="39"/>
      <c r="AQ464" s="39"/>
      <c r="AR464" s="39"/>
      <c r="AS464" s="39"/>
      <c r="AT464" s="39"/>
      <c r="AU464" s="39"/>
      <c r="AV464" s="39"/>
      <c r="AW464" s="39"/>
      <c r="AX464" s="39"/>
      <c r="AY464" s="39"/>
      <c r="AZ464" s="39"/>
      <c r="BA464" s="39"/>
      <c r="BB464" s="39"/>
      <c r="BC464" s="39"/>
      <c r="BD464" s="39"/>
      <c r="BE464" s="39"/>
      <c r="BF464" s="39"/>
      <c r="BG464" s="39"/>
      <c r="BH464" s="39"/>
      <c r="BI464" s="39"/>
      <c r="BJ464" s="39"/>
      <c r="BK464" s="39"/>
      <c r="BL464" s="39"/>
      <c r="BM464" s="39"/>
    </row>
    <row r="465" spans="1:65" x14ac:dyDescent="0.1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B465" s="39"/>
      <c r="BC465" s="39"/>
      <c r="BD465" s="39"/>
      <c r="BE465" s="39"/>
      <c r="BF465" s="39"/>
      <c r="BG465" s="39"/>
      <c r="BH465" s="39"/>
      <c r="BI465" s="39"/>
      <c r="BJ465" s="39"/>
      <c r="BK465" s="39"/>
      <c r="BL465" s="39"/>
      <c r="BM465" s="39"/>
    </row>
    <row r="466" spans="1:65" x14ac:dyDescent="0.15">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c r="AM466" s="39"/>
      <c r="AN466" s="39"/>
      <c r="AO466" s="39"/>
      <c r="AP466" s="39"/>
      <c r="AQ466" s="39"/>
      <c r="AR466" s="39"/>
      <c r="AS466" s="39"/>
      <c r="AT466" s="39"/>
      <c r="AU466" s="39"/>
      <c r="AV466" s="39"/>
      <c r="AW466" s="39"/>
      <c r="AX466" s="39"/>
      <c r="AY466" s="39"/>
      <c r="AZ466" s="39"/>
      <c r="BA466" s="39"/>
      <c r="BB466" s="39"/>
      <c r="BC466" s="39"/>
      <c r="BD466" s="39"/>
      <c r="BE466" s="39"/>
      <c r="BF466" s="39"/>
      <c r="BG466" s="39"/>
      <c r="BH466" s="39"/>
      <c r="BI466" s="39"/>
      <c r="BJ466" s="39"/>
      <c r="BK466" s="39"/>
      <c r="BL466" s="39"/>
      <c r="BM466" s="39"/>
    </row>
    <row r="467" spans="1:65" x14ac:dyDescent="0.15">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c r="AM467" s="39"/>
      <c r="AN467" s="39"/>
      <c r="AO467" s="39"/>
      <c r="AP467" s="39"/>
      <c r="AQ467" s="39"/>
      <c r="AR467" s="39"/>
      <c r="AS467" s="39"/>
      <c r="AT467" s="39"/>
      <c r="AU467" s="39"/>
      <c r="AV467" s="39"/>
      <c r="AW467" s="39"/>
      <c r="AX467" s="39"/>
      <c r="AY467" s="39"/>
      <c r="AZ467" s="39"/>
      <c r="BA467" s="39"/>
      <c r="BB467" s="39"/>
      <c r="BC467" s="39"/>
      <c r="BD467" s="39"/>
      <c r="BE467" s="39"/>
      <c r="BF467" s="39"/>
      <c r="BG467" s="39"/>
      <c r="BH467" s="39"/>
      <c r="BI467" s="39"/>
      <c r="BJ467" s="39"/>
      <c r="BK467" s="39"/>
      <c r="BL467" s="39"/>
      <c r="BM467" s="39"/>
    </row>
    <row r="468" spans="1:65" x14ac:dyDescent="0.15">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c r="AP468" s="39"/>
      <c r="AQ468" s="39"/>
      <c r="AR468" s="39"/>
      <c r="AS468" s="39"/>
      <c r="AT468" s="39"/>
      <c r="AU468" s="39"/>
      <c r="AV468" s="39"/>
      <c r="AW468" s="39"/>
      <c r="AX468" s="39"/>
      <c r="AY468" s="39"/>
      <c r="AZ468" s="39"/>
      <c r="BA468" s="39"/>
      <c r="BB468" s="39"/>
      <c r="BC468" s="39"/>
      <c r="BD468" s="39"/>
      <c r="BE468" s="39"/>
      <c r="BF468" s="39"/>
      <c r="BG468" s="39"/>
      <c r="BH468" s="39"/>
      <c r="BI468" s="39"/>
      <c r="BJ468" s="39"/>
      <c r="BK468" s="39"/>
      <c r="BL468" s="39"/>
      <c r="BM468" s="39"/>
    </row>
    <row r="469" spans="1:65" x14ac:dyDescent="0.15">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c r="AP469" s="39"/>
      <c r="AQ469" s="39"/>
      <c r="AR469" s="39"/>
      <c r="AS469" s="39"/>
      <c r="AT469" s="39"/>
      <c r="AU469" s="39"/>
      <c r="AV469" s="39"/>
      <c r="AW469" s="39"/>
      <c r="AX469" s="39"/>
      <c r="AY469" s="39"/>
      <c r="AZ469" s="39"/>
      <c r="BA469" s="39"/>
      <c r="BB469" s="39"/>
      <c r="BC469" s="39"/>
      <c r="BD469" s="39"/>
      <c r="BE469" s="39"/>
      <c r="BF469" s="39"/>
      <c r="BG469" s="39"/>
      <c r="BH469" s="39"/>
      <c r="BI469" s="39"/>
      <c r="BJ469" s="39"/>
      <c r="BK469" s="39"/>
      <c r="BL469" s="39"/>
      <c r="BM469" s="39"/>
    </row>
    <row r="470" spans="1:65" x14ac:dyDescent="0.15">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c r="AM470" s="39"/>
      <c r="AN470" s="39"/>
      <c r="AO470" s="39"/>
      <c r="AP470" s="39"/>
      <c r="AQ470" s="39"/>
      <c r="AR470" s="39"/>
      <c r="AS470" s="39"/>
      <c r="AT470" s="39"/>
      <c r="AU470" s="39"/>
      <c r="AV470" s="39"/>
      <c r="AW470" s="39"/>
      <c r="AX470" s="39"/>
      <c r="AY470" s="39"/>
      <c r="AZ470" s="39"/>
      <c r="BA470" s="39"/>
      <c r="BB470" s="39"/>
      <c r="BC470" s="39"/>
      <c r="BD470" s="39"/>
      <c r="BE470" s="39"/>
      <c r="BF470" s="39"/>
      <c r="BG470" s="39"/>
      <c r="BH470" s="39"/>
      <c r="BI470" s="39"/>
      <c r="BJ470" s="39"/>
      <c r="BK470" s="39"/>
      <c r="BL470" s="39"/>
      <c r="BM470" s="39"/>
    </row>
    <row r="471" spans="1:65" x14ac:dyDescent="0.15">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c r="AP471" s="39"/>
      <c r="AQ471" s="39"/>
      <c r="AR471" s="39"/>
      <c r="AS471" s="39"/>
      <c r="AT471" s="39"/>
      <c r="AU471" s="39"/>
      <c r="AV471" s="39"/>
      <c r="AW471" s="39"/>
      <c r="AX471" s="39"/>
      <c r="AY471" s="39"/>
      <c r="AZ471" s="39"/>
      <c r="BA471" s="39"/>
      <c r="BB471" s="39"/>
      <c r="BC471" s="39"/>
      <c r="BD471" s="39"/>
      <c r="BE471" s="39"/>
      <c r="BF471" s="39"/>
      <c r="BG471" s="39"/>
      <c r="BH471" s="39"/>
      <c r="BI471" s="39"/>
      <c r="BJ471" s="39"/>
      <c r="BK471" s="39"/>
      <c r="BL471" s="39"/>
      <c r="BM471" s="39"/>
    </row>
    <row r="472" spans="1:65" x14ac:dyDescent="0.15">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c r="AM472" s="39"/>
      <c r="AN472" s="39"/>
      <c r="AO472" s="39"/>
      <c r="AP472" s="39"/>
      <c r="AQ472" s="39"/>
      <c r="AR472" s="39"/>
      <c r="AS472" s="39"/>
      <c r="AT472" s="39"/>
      <c r="AU472" s="39"/>
      <c r="AV472" s="39"/>
      <c r="AW472" s="39"/>
      <c r="AX472" s="39"/>
      <c r="AY472" s="39"/>
      <c r="AZ472" s="39"/>
      <c r="BA472" s="39"/>
      <c r="BB472" s="39"/>
      <c r="BC472" s="39"/>
      <c r="BD472" s="39"/>
      <c r="BE472" s="39"/>
      <c r="BF472" s="39"/>
      <c r="BG472" s="39"/>
      <c r="BH472" s="39"/>
      <c r="BI472" s="39"/>
      <c r="BJ472" s="39"/>
      <c r="BK472" s="39"/>
      <c r="BL472" s="39"/>
      <c r="BM472" s="39"/>
    </row>
    <row r="473" spans="1:65" x14ac:dyDescent="0.15">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c r="AM473" s="39"/>
      <c r="AN473" s="39"/>
      <c r="AO473" s="39"/>
      <c r="AP473" s="39"/>
      <c r="AQ473" s="39"/>
      <c r="AR473" s="39"/>
      <c r="AS473" s="39"/>
      <c r="AT473" s="39"/>
      <c r="AU473" s="39"/>
      <c r="AV473" s="39"/>
      <c r="AW473" s="39"/>
      <c r="AX473" s="39"/>
      <c r="AY473" s="39"/>
      <c r="AZ473" s="39"/>
      <c r="BA473" s="39"/>
      <c r="BB473" s="39"/>
      <c r="BC473" s="39"/>
      <c r="BD473" s="39"/>
      <c r="BE473" s="39"/>
      <c r="BF473" s="39"/>
      <c r="BG473" s="39"/>
      <c r="BH473" s="39"/>
      <c r="BI473" s="39"/>
      <c r="BJ473" s="39"/>
      <c r="BK473" s="39"/>
      <c r="BL473" s="39"/>
      <c r="BM473" s="39"/>
    </row>
    <row r="474" spans="1:65" x14ac:dyDescent="0.15">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c r="AM474" s="39"/>
      <c r="AN474" s="39"/>
      <c r="AO474" s="39"/>
      <c r="AP474" s="39"/>
      <c r="AQ474" s="39"/>
      <c r="AR474" s="39"/>
      <c r="AS474" s="39"/>
      <c r="AT474" s="39"/>
      <c r="AU474" s="39"/>
      <c r="AV474" s="39"/>
      <c r="AW474" s="39"/>
      <c r="AX474" s="39"/>
      <c r="AY474" s="39"/>
      <c r="AZ474" s="39"/>
      <c r="BA474" s="39"/>
      <c r="BB474" s="39"/>
      <c r="BC474" s="39"/>
      <c r="BD474" s="39"/>
      <c r="BE474" s="39"/>
      <c r="BF474" s="39"/>
      <c r="BG474" s="39"/>
      <c r="BH474" s="39"/>
      <c r="BI474" s="39"/>
      <c r="BJ474" s="39"/>
      <c r="BK474" s="39"/>
      <c r="BL474" s="39"/>
      <c r="BM474" s="39"/>
    </row>
    <row r="475" spans="1:65" x14ac:dyDescent="0.1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B475" s="39"/>
      <c r="BC475" s="39"/>
      <c r="BD475" s="39"/>
      <c r="BE475" s="39"/>
      <c r="BF475" s="39"/>
      <c r="BG475" s="39"/>
      <c r="BH475" s="39"/>
      <c r="BI475" s="39"/>
      <c r="BJ475" s="39"/>
      <c r="BK475" s="39"/>
      <c r="BL475" s="39"/>
      <c r="BM475" s="39"/>
    </row>
    <row r="476" spans="1:65" x14ac:dyDescent="0.15">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c r="AM476" s="39"/>
      <c r="AN476" s="39"/>
      <c r="AO476" s="39"/>
      <c r="AP476" s="39"/>
      <c r="AQ476" s="39"/>
      <c r="AR476" s="39"/>
      <c r="AS476" s="39"/>
      <c r="AT476" s="39"/>
      <c r="AU476" s="39"/>
      <c r="AV476" s="39"/>
      <c r="AW476" s="39"/>
      <c r="AX476" s="39"/>
      <c r="AY476" s="39"/>
      <c r="AZ476" s="39"/>
      <c r="BA476" s="39"/>
      <c r="BB476" s="39"/>
      <c r="BC476" s="39"/>
      <c r="BD476" s="39"/>
      <c r="BE476" s="39"/>
      <c r="BF476" s="39"/>
      <c r="BG476" s="39"/>
      <c r="BH476" s="39"/>
      <c r="BI476" s="39"/>
      <c r="BJ476" s="39"/>
      <c r="BK476" s="39"/>
      <c r="BL476" s="39"/>
      <c r="BM476" s="39"/>
    </row>
    <row r="477" spans="1:65" x14ac:dyDescent="0.15">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c r="AM477" s="39"/>
      <c r="AN477" s="39"/>
      <c r="AO477" s="39"/>
      <c r="AP477" s="39"/>
      <c r="AQ477" s="39"/>
      <c r="AR477" s="39"/>
      <c r="AS477" s="39"/>
      <c r="AT477" s="39"/>
      <c r="AU477" s="39"/>
      <c r="AV477" s="39"/>
      <c r="AW477" s="39"/>
      <c r="AX477" s="39"/>
      <c r="AY477" s="39"/>
      <c r="AZ477" s="39"/>
      <c r="BA477" s="39"/>
      <c r="BB477" s="39"/>
      <c r="BC477" s="39"/>
      <c r="BD477" s="39"/>
      <c r="BE477" s="39"/>
      <c r="BF477" s="39"/>
      <c r="BG477" s="39"/>
      <c r="BH477" s="39"/>
      <c r="BI477" s="39"/>
      <c r="BJ477" s="39"/>
      <c r="BK477" s="39"/>
      <c r="BL477" s="39"/>
      <c r="BM477" s="39"/>
    </row>
    <row r="478" spans="1:65" x14ac:dyDescent="0.15">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c r="AM478" s="39"/>
      <c r="AN478" s="39"/>
      <c r="AO478" s="39"/>
      <c r="AP478" s="39"/>
      <c r="AQ478" s="39"/>
      <c r="AR478" s="39"/>
      <c r="AS478" s="39"/>
      <c r="AT478" s="39"/>
      <c r="AU478" s="39"/>
      <c r="AV478" s="39"/>
      <c r="AW478" s="39"/>
      <c r="AX478" s="39"/>
      <c r="AY478" s="39"/>
      <c r="AZ478" s="39"/>
      <c r="BA478" s="39"/>
      <c r="BB478" s="39"/>
      <c r="BC478" s="39"/>
      <c r="BD478" s="39"/>
      <c r="BE478" s="39"/>
      <c r="BF478" s="39"/>
      <c r="BG478" s="39"/>
      <c r="BH478" s="39"/>
      <c r="BI478" s="39"/>
      <c r="BJ478" s="39"/>
      <c r="BK478" s="39"/>
      <c r="BL478" s="39"/>
      <c r="BM478" s="39"/>
    </row>
    <row r="479" spans="1:65" x14ac:dyDescent="0.15">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c r="AM479" s="39"/>
      <c r="AN479" s="39"/>
      <c r="AO479" s="39"/>
      <c r="AP479" s="39"/>
      <c r="AQ479" s="39"/>
      <c r="AR479" s="39"/>
      <c r="AS479" s="39"/>
      <c r="AT479" s="39"/>
      <c r="AU479" s="39"/>
      <c r="AV479" s="39"/>
      <c r="AW479" s="39"/>
      <c r="AX479" s="39"/>
      <c r="AY479" s="39"/>
      <c r="AZ479" s="39"/>
      <c r="BA479" s="39"/>
      <c r="BB479" s="39"/>
      <c r="BC479" s="39"/>
      <c r="BD479" s="39"/>
      <c r="BE479" s="39"/>
      <c r="BF479" s="39"/>
      <c r="BG479" s="39"/>
      <c r="BH479" s="39"/>
      <c r="BI479" s="39"/>
      <c r="BJ479" s="39"/>
      <c r="BK479" s="39"/>
      <c r="BL479" s="39"/>
      <c r="BM479" s="39"/>
    </row>
    <row r="480" spans="1:65" x14ac:dyDescent="0.15">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c r="AP480" s="39"/>
      <c r="AQ480" s="39"/>
      <c r="AR480" s="39"/>
      <c r="AS480" s="39"/>
      <c r="AT480" s="39"/>
      <c r="AU480" s="39"/>
      <c r="AV480" s="39"/>
      <c r="AW480" s="39"/>
      <c r="AX480" s="39"/>
      <c r="AY480" s="39"/>
      <c r="AZ480" s="39"/>
      <c r="BA480" s="39"/>
      <c r="BB480" s="39"/>
      <c r="BC480" s="39"/>
      <c r="BD480" s="39"/>
      <c r="BE480" s="39"/>
      <c r="BF480" s="39"/>
      <c r="BG480" s="39"/>
      <c r="BH480" s="39"/>
      <c r="BI480" s="39"/>
      <c r="BJ480" s="39"/>
      <c r="BK480" s="39"/>
      <c r="BL480" s="39"/>
      <c r="BM480" s="39"/>
    </row>
    <row r="481" spans="1:65" x14ac:dyDescent="0.15">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c r="AM481" s="39"/>
      <c r="AN481" s="39"/>
      <c r="AO481" s="39"/>
      <c r="AP481" s="39"/>
      <c r="AQ481" s="39"/>
      <c r="AR481" s="39"/>
      <c r="AS481" s="39"/>
      <c r="AT481" s="39"/>
      <c r="AU481" s="39"/>
      <c r="AV481" s="39"/>
      <c r="AW481" s="39"/>
      <c r="AX481" s="39"/>
      <c r="AY481" s="39"/>
      <c r="AZ481" s="39"/>
      <c r="BA481" s="39"/>
      <c r="BB481" s="39"/>
      <c r="BC481" s="39"/>
      <c r="BD481" s="39"/>
      <c r="BE481" s="39"/>
      <c r="BF481" s="39"/>
      <c r="BG481" s="39"/>
      <c r="BH481" s="39"/>
      <c r="BI481" s="39"/>
      <c r="BJ481" s="39"/>
      <c r="BK481" s="39"/>
      <c r="BL481" s="39"/>
      <c r="BM481" s="39"/>
    </row>
    <row r="482" spans="1:65" x14ac:dyDescent="0.15">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c r="AM482" s="39"/>
      <c r="AN482" s="39"/>
      <c r="AO482" s="39"/>
      <c r="AP482" s="39"/>
      <c r="AQ482" s="39"/>
      <c r="AR482" s="39"/>
      <c r="AS482" s="39"/>
      <c r="AT482" s="39"/>
      <c r="AU482" s="39"/>
      <c r="AV482" s="39"/>
      <c r="AW482" s="39"/>
      <c r="AX482" s="39"/>
      <c r="AY482" s="39"/>
      <c r="AZ482" s="39"/>
      <c r="BA482" s="39"/>
      <c r="BB482" s="39"/>
      <c r="BC482" s="39"/>
      <c r="BD482" s="39"/>
      <c r="BE482" s="39"/>
      <c r="BF482" s="39"/>
      <c r="BG482" s="39"/>
      <c r="BH482" s="39"/>
      <c r="BI482" s="39"/>
      <c r="BJ482" s="39"/>
      <c r="BK482" s="39"/>
      <c r="BL482" s="39"/>
      <c r="BM482" s="39"/>
    </row>
    <row r="483" spans="1:65" x14ac:dyDescent="0.15">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c r="AM483" s="39"/>
      <c r="AN483" s="39"/>
      <c r="AO483" s="39"/>
      <c r="AP483" s="39"/>
      <c r="AQ483" s="39"/>
      <c r="AR483" s="39"/>
      <c r="AS483" s="39"/>
      <c r="AT483" s="39"/>
      <c r="AU483" s="39"/>
      <c r="AV483" s="39"/>
      <c r="AW483" s="39"/>
      <c r="AX483" s="39"/>
      <c r="AY483" s="39"/>
      <c r="AZ483" s="39"/>
      <c r="BA483" s="39"/>
      <c r="BB483" s="39"/>
      <c r="BC483" s="39"/>
      <c r="BD483" s="39"/>
      <c r="BE483" s="39"/>
      <c r="BF483" s="39"/>
      <c r="BG483" s="39"/>
      <c r="BH483" s="39"/>
      <c r="BI483" s="39"/>
      <c r="BJ483" s="39"/>
      <c r="BK483" s="39"/>
      <c r="BL483" s="39"/>
      <c r="BM483" s="39"/>
    </row>
    <row r="484" spans="1:65" x14ac:dyDescent="0.15">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c r="AM484" s="39"/>
      <c r="AN484" s="39"/>
      <c r="AO484" s="39"/>
      <c r="AP484" s="39"/>
      <c r="AQ484" s="39"/>
      <c r="AR484" s="39"/>
      <c r="AS484" s="39"/>
      <c r="AT484" s="39"/>
      <c r="AU484" s="39"/>
      <c r="AV484" s="39"/>
      <c r="AW484" s="39"/>
      <c r="AX484" s="39"/>
      <c r="AY484" s="39"/>
      <c r="AZ484" s="39"/>
      <c r="BA484" s="39"/>
      <c r="BB484" s="39"/>
      <c r="BC484" s="39"/>
      <c r="BD484" s="39"/>
      <c r="BE484" s="39"/>
      <c r="BF484" s="39"/>
      <c r="BG484" s="39"/>
      <c r="BH484" s="39"/>
      <c r="BI484" s="39"/>
      <c r="BJ484" s="39"/>
      <c r="BK484" s="39"/>
      <c r="BL484" s="39"/>
      <c r="BM484" s="39"/>
    </row>
    <row r="485" spans="1:65" x14ac:dyDescent="0.1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c r="AM485" s="39"/>
      <c r="AN485" s="39"/>
      <c r="AO485" s="39"/>
      <c r="AP485" s="39"/>
      <c r="AQ485" s="39"/>
      <c r="AR485" s="39"/>
      <c r="AS485" s="39"/>
      <c r="AT485" s="39"/>
      <c r="AU485" s="39"/>
      <c r="AV485" s="39"/>
      <c r="AW485" s="39"/>
      <c r="AX485" s="39"/>
      <c r="AY485" s="39"/>
      <c r="AZ485" s="39"/>
      <c r="BA485" s="39"/>
      <c r="BB485" s="39"/>
      <c r="BC485" s="39"/>
      <c r="BD485" s="39"/>
      <c r="BE485" s="39"/>
      <c r="BF485" s="39"/>
      <c r="BG485" s="39"/>
      <c r="BH485" s="39"/>
      <c r="BI485" s="39"/>
      <c r="BJ485" s="39"/>
      <c r="BK485" s="39"/>
      <c r="BL485" s="39"/>
      <c r="BM485" s="39"/>
    </row>
    <row r="486" spans="1:65" x14ac:dyDescent="0.15">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c r="AM486" s="39"/>
      <c r="AN486" s="39"/>
      <c r="AO486" s="39"/>
      <c r="AP486" s="39"/>
      <c r="AQ486" s="39"/>
      <c r="AR486" s="39"/>
      <c r="AS486" s="39"/>
      <c r="AT486" s="39"/>
      <c r="AU486" s="39"/>
      <c r="AV486" s="39"/>
      <c r="AW486" s="39"/>
      <c r="AX486" s="39"/>
      <c r="AY486" s="39"/>
      <c r="AZ486" s="39"/>
      <c r="BA486" s="39"/>
      <c r="BB486" s="39"/>
      <c r="BC486" s="39"/>
      <c r="BD486" s="39"/>
      <c r="BE486" s="39"/>
      <c r="BF486" s="39"/>
      <c r="BG486" s="39"/>
      <c r="BH486" s="39"/>
      <c r="BI486" s="39"/>
      <c r="BJ486" s="39"/>
      <c r="BK486" s="39"/>
      <c r="BL486" s="39"/>
      <c r="BM486" s="39"/>
    </row>
    <row r="487" spans="1:65" x14ac:dyDescent="0.15">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c r="AM487" s="39"/>
      <c r="AN487" s="39"/>
      <c r="AO487" s="39"/>
      <c r="AP487" s="39"/>
      <c r="AQ487" s="39"/>
      <c r="AR487" s="39"/>
      <c r="AS487" s="39"/>
      <c r="AT487" s="39"/>
      <c r="AU487" s="39"/>
      <c r="AV487" s="39"/>
      <c r="AW487" s="39"/>
      <c r="AX487" s="39"/>
      <c r="AY487" s="39"/>
      <c r="AZ487" s="39"/>
      <c r="BA487" s="39"/>
      <c r="BB487" s="39"/>
      <c r="BC487" s="39"/>
      <c r="BD487" s="39"/>
      <c r="BE487" s="39"/>
      <c r="BF487" s="39"/>
      <c r="BG487" s="39"/>
      <c r="BH487" s="39"/>
      <c r="BI487" s="39"/>
      <c r="BJ487" s="39"/>
      <c r="BK487" s="39"/>
      <c r="BL487" s="39"/>
      <c r="BM487" s="39"/>
    </row>
    <row r="488" spans="1:65" x14ac:dyDescent="0.15">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c r="AM488" s="39"/>
      <c r="AN488" s="39"/>
      <c r="AO488" s="39"/>
      <c r="AP488" s="39"/>
      <c r="AQ488" s="39"/>
      <c r="AR488" s="39"/>
      <c r="AS488" s="39"/>
      <c r="AT488" s="39"/>
      <c r="AU488" s="39"/>
      <c r="AV488" s="39"/>
      <c r="AW488" s="39"/>
      <c r="AX488" s="39"/>
      <c r="AY488" s="39"/>
      <c r="AZ488" s="39"/>
      <c r="BA488" s="39"/>
      <c r="BB488" s="39"/>
      <c r="BC488" s="39"/>
      <c r="BD488" s="39"/>
      <c r="BE488" s="39"/>
      <c r="BF488" s="39"/>
      <c r="BG488" s="39"/>
      <c r="BH488" s="39"/>
      <c r="BI488" s="39"/>
      <c r="BJ488" s="39"/>
      <c r="BK488" s="39"/>
      <c r="BL488" s="39"/>
      <c r="BM488" s="39"/>
    </row>
    <row r="489" spans="1:65" x14ac:dyDescent="0.15">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c r="AM489" s="39"/>
      <c r="AN489" s="39"/>
      <c r="AO489" s="39"/>
      <c r="AP489" s="39"/>
      <c r="AQ489" s="39"/>
      <c r="AR489" s="39"/>
      <c r="AS489" s="39"/>
      <c r="AT489" s="39"/>
      <c r="AU489" s="39"/>
      <c r="AV489" s="39"/>
      <c r="AW489" s="39"/>
      <c r="AX489" s="39"/>
      <c r="AY489" s="39"/>
      <c r="AZ489" s="39"/>
      <c r="BA489" s="39"/>
      <c r="BB489" s="39"/>
      <c r="BC489" s="39"/>
      <c r="BD489" s="39"/>
      <c r="BE489" s="39"/>
      <c r="BF489" s="39"/>
      <c r="BG489" s="39"/>
      <c r="BH489" s="39"/>
      <c r="BI489" s="39"/>
      <c r="BJ489" s="39"/>
      <c r="BK489" s="39"/>
      <c r="BL489" s="39"/>
      <c r="BM489" s="39"/>
    </row>
    <row r="490" spans="1:65" x14ac:dyDescent="0.15">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c r="AP490" s="39"/>
      <c r="AQ490" s="39"/>
      <c r="AR490" s="39"/>
      <c r="AS490" s="39"/>
      <c r="AT490" s="39"/>
      <c r="AU490" s="39"/>
      <c r="AV490" s="39"/>
      <c r="AW490" s="39"/>
      <c r="AX490" s="39"/>
      <c r="AY490" s="39"/>
      <c r="AZ490" s="39"/>
      <c r="BA490" s="39"/>
      <c r="BB490" s="39"/>
      <c r="BC490" s="39"/>
      <c r="BD490" s="39"/>
      <c r="BE490" s="39"/>
      <c r="BF490" s="39"/>
      <c r="BG490" s="39"/>
      <c r="BH490" s="39"/>
      <c r="BI490" s="39"/>
      <c r="BJ490" s="39"/>
      <c r="BK490" s="39"/>
      <c r="BL490" s="39"/>
      <c r="BM490" s="39"/>
    </row>
    <row r="491" spans="1:65" x14ac:dyDescent="0.15">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c r="AN491" s="39"/>
      <c r="AO491" s="39"/>
      <c r="AP491" s="39"/>
      <c r="AQ491" s="39"/>
      <c r="AR491" s="39"/>
      <c r="AS491" s="39"/>
      <c r="AT491" s="39"/>
      <c r="AU491" s="39"/>
      <c r="AV491" s="39"/>
      <c r="AW491" s="39"/>
      <c r="AX491" s="39"/>
      <c r="AY491" s="39"/>
      <c r="AZ491" s="39"/>
      <c r="BA491" s="39"/>
      <c r="BB491" s="39"/>
      <c r="BC491" s="39"/>
      <c r="BD491" s="39"/>
      <c r="BE491" s="39"/>
      <c r="BF491" s="39"/>
      <c r="BG491" s="39"/>
      <c r="BH491" s="39"/>
      <c r="BI491" s="39"/>
      <c r="BJ491" s="39"/>
      <c r="BK491" s="39"/>
      <c r="BL491" s="39"/>
      <c r="BM491" s="39"/>
    </row>
    <row r="492" spans="1:65" x14ac:dyDescent="0.15">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c r="AM492" s="39"/>
      <c r="AN492" s="39"/>
      <c r="AO492" s="39"/>
      <c r="AP492" s="39"/>
      <c r="AQ492" s="39"/>
      <c r="AR492" s="39"/>
      <c r="AS492" s="39"/>
      <c r="AT492" s="39"/>
      <c r="AU492" s="39"/>
      <c r="AV492" s="39"/>
      <c r="AW492" s="39"/>
      <c r="AX492" s="39"/>
      <c r="AY492" s="39"/>
      <c r="AZ492" s="39"/>
      <c r="BA492" s="39"/>
      <c r="BB492" s="39"/>
      <c r="BC492" s="39"/>
      <c r="BD492" s="39"/>
      <c r="BE492" s="39"/>
      <c r="BF492" s="39"/>
      <c r="BG492" s="39"/>
      <c r="BH492" s="39"/>
      <c r="BI492" s="39"/>
      <c r="BJ492" s="39"/>
      <c r="BK492" s="39"/>
      <c r="BL492" s="39"/>
      <c r="BM492" s="39"/>
    </row>
    <row r="493" spans="1:65" x14ac:dyDescent="0.15">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c r="AM493" s="39"/>
      <c r="AN493" s="39"/>
      <c r="AO493" s="39"/>
      <c r="AP493" s="39"/>
      <c r="AQ493" s="39"/>
      <c r="AR493" s="39"/>
      <c r="AS493" s="39"/>
      <c r="AT493" s="39"/>
      <c r="AU493" s="39"/>
      <c r="AV493" s="39"/>
      <c r="AW493" s="39"/>
      <c r="AX493" s="39"/>
      <c r="AY493" s="39"/>
      <c r="AZ493" s="39"/>
      <c r="BA493" s="39"/>
      <c r="BB493" s="39"/>
      <c r="BC493" s="39"/>
      <c r="BD493" s="39"/>
      <c r="BE493" s="39"/>
      <c r="BF493" s="39"/>
      <c r="BG493" s="39"/>
      <c r="BH493" s="39"/>
      <c r="BI493" s="39"/>
      <c r="BJ493" s="39"/>
      <c r="BK493" s="39"/>
      <c r="BL493" s="39"/>
      <c r="BM493" s="39"/>
    </row>
    <row r="494" spans="1:65" x14ac:dyDescent="0.15">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c r="BA494" s="39"/>
      <c r="BB494" s="39"/>
      <c r="BC494" s="39"/>
      <c r="BD494" s="39"/>
      <c r="BE494" s="39"/>
      <c r="BF494" s="39"/>
      <c r="BG494" s="39"/>
      <c r="BH494" s="39"/>
      <c r="BI494" s="39"/>
      <c r="BJ494" s="39"/>
      <c r="BK494" s="39"/>
      <c r="BL494" s="39"/>
      <c r="BM494" s="39"/>
    </row>
    <row r="495" spans="1:65" x14ac:dyDescent="0.1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c r="AM495" s="39"/>
      <c r="AN495" s="39"/>
      <c r="AO495" s="39"/>
      <c r="AP495" s="39"/>
      <c r="AQ495" s="39"/>
      <c r="AR495" s="39"/>
      <c r="AS495" s="39"/>
      <c r="AT495" s="39"/>
      <c r="AU495" s="39"/>
      <c r="AV495" s="39"/>
      <c r="AW495" s="39"/>
      <c r="AX495" s="39"/>
      <c r="AY495" s="39"/>
      <c r="AZ495" s="39"/>
      <c r="BA495" s="39"/>
      <c r="BB495" s="39"/>
      <c r="BC495" s="39"/>
      <c r="BD495" s="39"/>
      <c r="BE495" s="39"/>
      <c r="BF495" s="39"/>
      <c r="BG495" s="39"/>
      <c r="BH495" s="39"/>
      <c r="BI495" s="39"/>
      <c r="BJ495" s="39"/>
      <c r="BK495" s="39"/>
      <c r="BL495" s="39"/>
      <c r="BM495" s="39"/>
    </row>
    <row r="496" spans="1:65" x14ac:dyDescent="0.15">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c r="AM496" s="39"/>
      <c r="AN496" s="39"/>
      <c r="AO496" s="39"/>
      <c r="AP496" s="39"/>
      <c r="AQ496" s="39"/>
      <c r="AR496" s="39"/>
      <c r="AS496" s="39"/>
      <c r="AT496" s="39"/>
      <c r="AU496" s="39"/>
      <c r="AV496" s="39"/>
      <c r="AW496" s="39"/>
      <c r="AX496" s="39"/>
      <c r="AY496" s="39"/>
      <c r="AZ496" s="39"/>
      <c r="BA496" s="39"/>
      <c r="BB496" s="39"/>
      <c r="BC496" s="39"/>
      <c r="BD496" s="39"/>
      <c r="BE496" s="39"/>
      <c r="BF496" s="39"/>
      <c r="BG496" s="39"/>
      <c r="BH496" s="39"/>
      <c r="BI496" s="39"/>
      <c r="BJ496" s="39"/>
      <c r="BK496" s="39"/>
      <c r="BL496" s="39"/>
      <c r="BM496" s="39"/>
    </row>
    <row r="497" spans="1:65" x14ac:dyDescent="0.15">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c r="AM497" s="39"/>
      <c r="AN497" s="39"/>
      <c r="AO497" s="39"/>
      <c r="AP497" s="39"/>
      <c r="AQ497" s="39"/>
      <c r="AR497" s="39"/>
      <c r="AS497" s="39"/>
      <c r="AT497" s="39"/>
      <c r="AU497" s="39"/>
      <c r="AV497" s="39"/>
      <c r="AW497" s="39"/>
      <c r="AX497" s="39"/>
      <c r="AY497" s="39"/>
      <c r="AZ497" s="39"/>
      <c r="BA497" s="39"/>
      <c r="BB497" s="39"/>
      <c r="BC497" s="39"/>
      <c r="BD497" s="39"/>
      <c r="BE497" s="39"/>
      <c r="BF497" s="39"/>
      <c r="BG497" s="39"/>
      <c r="BH497" s="39"/>
      <c r="BI497" s="39"/>
      <c r="BJ497" s="39"/>
      <c r="BK497" s="39"/>
      <c r="BL497" s="39"/>
      <c r="BM497" s="39"/>
    </row>
    <row r="498" spans="1:65" x14ac:dyDescent="0.15">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c r="AM498" s="39"/>
      <c r="AN498" s="39"/>
      <c r="AO498" s="39"/>
      <c r="AP498" s="39"/>
      <c r="AQ498" s="39"/>
      <c r="AR498" s="39"/>
      <c r="AS498" s="39"/>
      <c r="AT498" s="39"/>
      <c r="AU498" s="39"/>
      <c r="AV498" s="39"/>
      <c r="AW498" s="39"/>
      <c r="AX498" s="39"/>
      <c r="AY498" s="39"/>
      <c r="AZ498" s="39"/>
      <c r="BA498" s="39"/>
      <c r="BB498" s="39"/>
      <c r="BC498" s="39"/>
      <c r="BD498" s="39"/>
      <c r="BE498" s="39"/>
      <c r="BF498" s="39"/>
      <c r="BG498" s="39"/>
      <c r="BH498" s="39"/>
      <c r="BI498" s="39"/>
      <c r="BJ498" s="39"/>
      <c r="BK498" s="39"/>
      <c r="BL498" s="39"/>
      <c r="BM498" s="39"/>
    </row>
    <row r="499" spans="1:65" x14ac:dyDescent="0.15">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c r="AM499" s="39"/>
      <c r="AN499" s="39"/>
      <c r="AO499" s="39"/>
      <c r="AP499" s="39"/>
      <c r="AQ499" s="39"/>
      <c r="AR499" s="39"/>
      <c r="AS499" s="39"/>
      <c r="AT499" s="39"/>
      <c r="AU499" s="39"/>
      <c r="AV499" s="39"/>
      <c r="AW499" s="39"/>
      <c r="AX499" s="39"/>
      <c r="AY499" s="39"/>
      <c r="AZ499" s="39"/>
      <c r="BA499" s="39"/>
      <c r="BB499" s="39"/>
      <c r="BC499" s="39"/>
      <c r="BD499" s="39"/>
      <c r="BE499" s="39"/>
      <c r="BF499" s="39"/>
      <c r="BG499" s="39"/>
      <c r="BH499" s="39"/>
      <c r="BI499" s="39"/>
      <c r="BJ499" s="39"/>
      <c r="BK499" s="39"/>
      <c r="BL499" s="39"/>
      <c r="BM499" s="39"/>
    </row>
    <row r="500" spans="1:65" x14ac:dyDescent="0.15">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c r="AM500" s="39"/>
      <c r="AN500" s="39"/>
      <c r="AO500" s="39"/>
      <c r="AP500" s="39"/>
      <c r="AQ500" s="39"/>
      <c r="AR500" s="39"/>
      <c r="AS500" s="39"/>
      <c r="AT500" s="39"/>
      <c r="AU500" s="39"/>
      <c r="AV500" s="39"/>
      <c r="AW500" s="39"/>
      <c r="AX500" s="39"/>
      <c r="AY500" s="39"/>
      <c r="AZ500" s="39"/>
      <c r="BA500" s="39"/>
      <c r="BB500" s="39"/>
      <c r="BC500" s="39"/>
      <c r="BD500" s="39"/>
      <c r="BE500" s="39"/>
      <c r="BF500" s="39"/>
      <c r="BG500" s="39"/>
      <c r="BH500" s="39"/>
      <c r="BI500" s="39"/>
      <c r="BJ500" s="39"/>
      <c r="BK500" s="39"/>
      <c r="BL500" s="39"/>
      <c r="BM500" s="39"/>
    </row>
    <row r="501" spans="1:65" x14ac:dyDescent="0.15">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c r="AM501" s="39"/>
      <c r="AN501" s="39"/>
      <c r="AO501" s="39"/>
      <c r="AP501" s="39"/>
      <c r="AQ501" s="39"/>
      <c r="AR501" s="39"/>
      <c r="AS501" s="39"/>
      <c r="AT501" s="39"/>
      <c r="AU501" s="39"/>
      <c r="AV501" s="39"/>
      <c r="AW501" s="39"/>
      <c r="AX501" s="39"/>
      <c r="AY501" s="39"/>
      <c r="AZ501" s="39"/>
      <c r="BA501" s="39"/>
      <c r="BB501" s="39"/>
      <c r="BC501" s="39"/>
      <c r="BD501" s="39"/>
      <c r="BE501" s="39"/>
      <c r="BF501" s="39"/>
      <c r="BG501" s="39"/>
      <c r="BH501" s="39"/>
      <c r="BI501" s="39"/>
      <c r="BJ501" s="39"/>
      <c r="BK501" s="39"/>
      <c r="BL501" s="39"/>
      <c r="BM501" s="39"/>
    </row>
    <row r="502" spans="1:65" x14ac:dyDescent="0.15">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c r="AM502" s="39"/>
      <c r="AN502" s="39"/>
      <c r="AO502" s="39"/>
      <c r="AP502" s="39"/>
      <c r="AQ502" s="39"/>
      <c r="AR502" s="39"/>
      <c r="AS502" s="39"/>
      <c r="AT502" s="39"/>
      <c r="AU502" s="39"/>
      <c r="AV502" s="39"/>
      <c r="AW502" s="39"/>
      <c r="AX502" s="39"/>
      <c r="AY502" s="39"/>
      <c r="AZ502" s="39"/>
      <c r="BA502" s="39"/>
      <c r="BB502" s="39"/>
      <c r="BC502" s="39"/>
      <c r="BD502" s="39"/>
      <c r="BE502" s="39"/>
      <c r="BF502" s="39"/>
      <c r="BG502" s="39"/>
      <c r="BH502" s="39"/>
      <c r="BI502" s="39"/>
      <c r="BJ502" s="39"/>
      <c r="BK502" s="39"/>
      <c r="BL502" s="39"/>
      <c r="BM502" s="39"/>
    </row>
    <row r="503" spans="1:65" x14ac:dyDescent="0.15">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c r="AM503" s="39"/>
      <c r="AN503" s="39"/>
      <c r="AO503" s="39"/>
      <c r="AP503" s="39"/>
      <c r="AQ503" s="39"/>
      <c r="AR503" s="39"/>
      <c r="AS503" s="39"/>
      <c r="AT503" s="39"/>
      <c r="AU503" s="39"/>
      <c r="AV503" s="39"/>
      <c r="AW503" s="39"/>
      <c r="AX503" s="39"/>
      <c r="AY503" s="39"/>
      <c r="AZ503" s="39"/>
      <c r="BA503" s="39"/>
      <c r="BB503" s="39"/>
      <c r="BC503" s="39"/>
      <c r="BD503" s="39"/>
      <c r="BE503" s="39"/>
      <c r="BF503" s="39"/>
      <c r="BG503" s="39"/>
      <c r="BH503" s="39"/>
      <c r="BI503" s="39"/>
      <c r="BJ503" s="39"/>
      <c r="BK503" s="39"/>
      <c r="BL503" s="39"/>
      <c r="BM503" s="39"/>
    </row>
    <row r="504" spans="1:65" x14ac:dyDescent="0.15">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c r="AM504" s="39"/>
      <c r="AN504" s="39"/>
      <c r="AO504" s="39"/>
      <c r="AP504" s="39"/>
      <c r="AQ504" s="39"/>
      <c r="AR504" s="39"/>
      <c r="AS504" s="39"/>
      <c r="AT504" s="39"/>
      <c r="AU504" s="39"/>
      <c r="AV504" s="39"/>
      <c r="AW504" s="39"/>
      <c r="AX504" s="39"/>
      <c r="AY504" s="39"/>
      <c r="AZ504" s="39"/>
      <c r="BA504" s="39"/>
      <c r="BB504" s="39"/>
      <c r="BC504" s="39"/>
      <c r="BD504" s="39"/>
      <c r="BE504" s="39"/>
      <c r="BF504" s="39"/>
      <c r="BG504" s="39"/>
      <c r="BH504" s="39"/>
      <c r="BI504" s="39"/>
      <c r="BJ504" s="39"/>
      <c r="BK504" s="39"/>
      <c r="BL504" s="39"/>
      <c r="BM504" s="39"/>
    </row>
    <row r="505" spans="1:65" x14ac:dyDescent="0.1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c r="AM505" s="39"/>
      <c r="AN505" s="39"/>
      <c r="AO505" s="39"/>
      <c r="AP505" s="39"/>
      <c r="AQ505" s="39"/>
      <c r="AR505" s="39"/>
      <c r="AS505" s="39"/>
      <c r="AT505" s="39"/>
      <c r="AU505" s="39"/>
      <c r="AV505" s="39"/>
      <c r="AW505" s="39"/>
      <c r="AX505" s="39"/>
      <c r="AY505" s="39"/>
      <c r="AZ505" s="39"/>
      <c r="BA505" s="39"/>
      <c r="BB505" s="39"/>
      <c r="BC505" s="39"/>
      <c r="BD505" s="39"/>
      <c r="BE505" s="39"/>
      <c r="BF505" s="39"/>
      <c r="BG505" s="39"/>
      <c r="BH505" s="39"/>
      <c r="BI505" s="39"/>
      <c r="BJ505" s="39"/>
      <c r="BK505" s="39"/>
      <c r="BL505" s="39"/>
      <c r="BM505" s="39"/>
    </row>
    <row r="506" spans="1:65" x14ac:dyDescent="0.15">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c r="AM506" s="39"/>
      <c r="AN506" s="39"/>
      <c r="AO506" s="39"/>
      <c r="AP506" s="39"/>
      <c r="AQ506" s="39"/>
      <c r="AR506" s="39"/>
      <c r="AS506" s="39"/>
      <c r="AT506" s="39"/>
      <c r="AU506" s="39"/>
      <c r="AV506" s="39"/>
      <c r="AW506" s="39"/>
      <c r="AX506" s="39"/>
      <c r="AY506" s="39"/>
      <c r="AZ506" s="39"/>
      <c r="BA506" s="39"/>
      <c r="BB506" s="39"/>
      <c r="BC506" s="39"/>
      <c r="BD506" s="39"/>
      <c r="BE506" s="39"/>
      <c r="BF506" s="39"/>
      <c r="BG506" s="39"/>
      <c r="BH506" s="39"/>
      <c r="BI506" s="39"/>
      <c r="BJ506" s="39"/>
      <c r="BK506" s="39"/>
      <c r="BL506" s="39"/>
      <c r="BM506" s="39"/>
    </row>
    <row r="507" spans="1:65" x14ac:dyDescent="0.15">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c r="AM507" s="39"/>
      <c r="AN507" s="39"/>
      <c r="AO507" s="39"/>
      <c r="AP507" s="39"/>
      <c r="AQ507" s="39"/>
      <c r="AR507" s="39"/>
      <c r="AS507" s="39"/>
      <c r="AT507" s="39"/>
      <c r="AU507" s="39"/>
      <c r="AV507" s="39"/>
      <c r="AW507" s="39"/>
      <c r="AX507" s="39"/>
      <c r="AY507" s="39"/>
      <c r="AZ507" s="39"/>
      <c r="BA507" s="39"/>
      <c r="BB507" s="39"/>
      <c r="BC507" s="39"/>
      <c r="BD507" s="39"/>
      <c r="BE507" s="39"/>
      <c r="BF507" s="39"/>
      <c r="BG507" s="39"/>
      <c r="BH507" s="39"/>
      <c r="BI507" s="39"/>
      <c r="BJ507" s="39"/>
      <c r="BK507" s="39"/>
      <c r="BL507" s="39"/>
      <c r="BM507" s="39"/>
    </row>
    <row r="508" spans="1:65" x14ac:dyDescent="0.15">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c r="AM508" s="39"/>
      <c r="AN508" s="39"/>
      <c r="AO508" s="39"/>
      <c r="AP508" s="39"/>
      <c r="AQ508" s="39"/>
      <c r="AR508" s="39"/>
      <c r="AS508" s="39"/>
      <c r="AT508" s="39"/>
      <c r="AU508" s="39"/>
      <c r="AV508" s="39"/>
      <c r="AW508" s="39"/>
      <c r="AX508" s="39"/>
      <c r="AY508" s="39"/>
      <c r="AZ508" s="39"/>
      <c r="BA508" s="39"/>
      <c r="BB508" s="39"/>
      <c r="BC508" s="39"/>
      <c r="BD508" s="39"/>
      <c r="BE508" s="39"/>
      <c r="BF508" s="39"/>
      <c r="BG508" s="39"/>
      <c r="BH508" s="39"/>
      <c r="BI508" s="39"/>
      <c r="BJ508" s="39"/>
      <c r="BK508" s="39"/>
      <c r="BL508" s="39"/>
      <c r="BM508" s="39"/>
    </row>
    <row r="509" spans="1:65" x14ac:dyDescent="0.15">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c r="AP509" s="39"/>
      <c r="AQ509" s="39"/>
      <c r="AR509" s="39"/>
      <c r="AS509" s="39"/>
      <c r="AT509" s="39"/>
      <c r="AU509" s="39"/>
      <c r="AV509" s="39"/>
      <c r="AW509" s="39"/>
      <c r="AX509" s="39"/>
      <c r="AY509" s="39"/>
      <c r="AZ509" s="39"/>
      <c r="BA509" s="39"/>
      <c r="BB509" s="39"/>
      <c r="BC509" s="39"/>
      <c r="BD509" s="39"/>
      <c r="BE509" s="39"/>
      <c r="BF509" s="39"/>
      <c r="BG509" s="39"/>
      <c r="BH509" s="39"/>
      <c r="BI509" s="39"/>
      <c r="BJ509" s="39"/>
      <c r="BK509" s="39"/>
      <c r="BL509" s="39"/>
      <c r="BM509" s="39"/>
    </row>
    <row r="510" spans="1:65" x14ac:dyDescent="0.15">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c r="AM510" s="39"/>
      <c r="AN510" s="39"/>
      <c r="AO510" s="39"/>
      <c r="AP510" s="39"/>
      <c r="AQ510" s="39"/>
      <c r="AR510" s="39"/>
      <c r="AS510" s="39"/>
      <c r="AT510" s="39"/>
      <c r="AU510" s="39"/>
      <c r="AV510" s="39"/>
      <c r="AW510" s="39"/>
      <c r="AX510" s="39"/>
      <c r="AY510" s="39"/>
      <c r="AZ510" s="39"/>
      <c r="BA510" s="39"/>
      <c r="BB510" s="39"/>
      <c r="BC510" s="39"/>
      <c r="BD510" s="39"/>
      <c r="BE510" s="39"/>
      <c r="BF510" s="39"/>
      <c r="BG510" s="39"/>
      <c r="BH510" s="39"/>
      <c r="BI510" s="39"/>
      <c r="BJ510" s="39"/>
      <c r="BK510" s="39"/>
      <c r="BL510" s="39"/>
      <c r="BM510" s="39"/>
    </row>
    <row r="511" spans="1:65" x14ac:dyDescent="0.15">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c r="AM511" s="39"/>
      <c r="AN511" s="39"/>
      <c r="AO511" s="39"/>
      <c r="AP511" s="39"/>
      <c r="AQ511" s="39"/>
      <c r="AR511" s="39"/>
      <c r="AS511" s="39"/>
      <c r="AT511" s="39"/>
      <c r="AU511" s="39"/>
      <c r="AV511" s="39"/>
      <c r="AW511" s="39"/>
      <c r="AX511" s="39"/>
      <c r="AY511" s="39"/>
      <c r="AZ511" s="39"/>
      <c r="BA511" s="39"/>
      <c r="BB511" s="39"/>
      <c r="BC511" s="39"/>
      <c r="BD511" s="39"/>
      <c r="BE511" s="39"/>
      <c r="BF511" s="39"/>
      <c r="BG511" s="39"/>
      <c r="BH511" s="39"/>
      <c r="BI511" s="39"/>
      <c r="BJ511" s="39"/>
      <c r="BK511" s="39"/>
      <c r="BL511" s="39"/>
      <c r="BM511" s="39"/>
    </row>
    <row r="512" spans="1:65" x14ac:dyDescent="0.15">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c r="AM512" s="39"/>
      <c r="AN512" s="39"/>
      <c r="AO512" s="39"/>
      <c r="AP512" s="39"/>
      <c r="AQ512" s="39"/>
      <c r="AR512" s="39"/>
      <c r="AS512" s="39"/>
      <c r="AT512" s="39"/>
      <c r="AU512" s="39"/>
      <c r="AV512" s="39"/>
      <c r="AW512" s="39"/>
      <c r="AX512" s="39"/>
      <c r="AY512" s="39"/>
      <c r="AZ512" s="39"/>
      <c r="BA512" s="39"/>
      <c r="BB512" s="39"/>
      <c r="BC512" s="39"/>
      <c r="BD512" s="39"/>
      <c r="BE512" s="39"/>
      <c r="BF512" s="39"/>
      <c r="BG512" s="39"/>
      <c r="BH512" s="39"/>
      <c r="BI512" s="39"/>
      <c r="BJ512" s="39"/>
      <c r="BK512" s="39"/>
      <c r="BL512" s="39"/>
      <c r="BM512" s="39"/>
    </row>
    <row r="513" spans="1:65" x14ac:dyDescent="0.15">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c r="BA513" s="39"/>
      <c r="BB513" s="39"/>
      <c r="BC513" s="39"/>
      <c r="BD513" s="39"/>
      <c r="BE513" s="39"/>
      <c r="BF513" s="39"/>
      <c r="BG513" s="39"/>
      <c r="BH513" s="39"/>
      <c r="BI513" s="39"/>
      <c r="BJ513" s="39"/>
      <c r="BK513" s="39"/>
      <c r="BL513" s="39"/>
      <c r="BM513" s="39"/>
    </row>
    <row r="514" spans="1:65" x14ac:dyDescent="0.15">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c r="AM514" s="39"/>
      <c r="AN514" s="39"/>
      <c r="AO514" s="39"/>
      <c r="AP514" s="39"/>
      <c r="AQ514" s="39"/>
      <c r="AR514" s="39"/>
      <c r="AS514" s="39"/>
      <c r="AT514" s="39"/>
      <c r="AU514" s="39"/>
      <c r="AV514" s="39"/>
      <c r="AW514" s="39"/>
      <c r="AX514" s="39"/>
      <c r="AY514" s="39"/>
      <c r="AZ514" s="39"/>
      <c r="BA514" s="39"/>
      <c r="BB514" s="39"/>
      <c r="BC514" s="39"/>
      <c r="BD514" s="39"/>
      <c r="BE514" s="39"/>
      <c r="BF514" s="39"/>
      <c r="BG514" s="39"/>
      <c r="BH514" s="39"/>
      <c r="BI514" s="39"/>
      <c r="BJ514" s="39"/>
      <c r="BK514" s="39"/>
      <c r="BL514" s="39"/>
      <c r="BM514" s="39"/>
    </row>
    <row r="515" spans="1:65" x14ac:dyDescent="0.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c r="AM515" s="39"/>
      <c r="AN515" s="39"/>
      <c r="AO515" s="39"/>
      <c r="AP515" s="39"/>
      <c r="AQ515" s="39"/>
      <c r="AR515" s="39"/>
      <c r="AS515" s="39"/>
      <c r="AT515" s="39"/>
      <c r="AU515" s="39"/>
      <c r="AV515" s="39"/>
      <c r="AW515" s="39"/>
      <c r="AX515" s="39"/>
      <c r="AY515" s="39"/>
      <c r="AZ515" s="39"/>
      <c r="BA515" s="39"/>
      <c r="BB515" s="39"/>
      <c r="BC515" s="39"/>
      <c r="BD515" s="39"/>
      <c r="BE515" s="39"/>
      <c r="BF515" s="39"/>
      <c r="BG515" s="39"/>
      <c r="BH515" s="39"/>
      <c r="BI515" s="39"/>
      <c r="BJ515" s="39"/>
      <c r="BK515" s="39"/>
      <c r="BL515" s="39"/>
      <c r="BM515" s="39"/>
    </row>
    <row r="516" spans="1:65" x14ac:dyDescent="0.15">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c r="AM516" s="39"/>
      <c r="AN516" s="39"/>
      <c r="AO516" s="39"/>
      <c r="AP516" s="39"/>
      <c r="AQ516" s="39"/>
      <c r="AR516" s="39"/>
      <c r="AS516" s="39"/>
      <c r="AT516" s="39"/>
      <c r="AU516" s="39"/>
      <c r="AV516" s="39"/>
      <c r="AW516" s="39"/>
      <c r="AX516" s="39"/>
      <c r="AY516" s="39"/>
      <c r="AZ516" s="39"/>
      <c r="BA516" s="39"/>
      <c r="BB516" s="39"/>
      <c r="BC516" s="39"/>
      <c r="BD516" s="39"/>
      <c r="BE516" s="39"/>
      <c r="BF516" s="39"/>
      <c r="BG516" s="39"/>
      <c r="BH516" s="39"/>
      <c r="BI516" s="39"/>
      <c r="BJ516" s="39"/>
      <c r="BK516" s="39"/>
      <c r="BL516" s="39"/>
      <c r="BM516" s="39"/>
    </row>
    <row r="517" spans="1:65" x14ac:dyDescent="0.15">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c r="AM517" s="39"/>
      <c r="AN517" s="39"/>
      <c r="AO517" s="39"/>
      <c r="AP517" s="39"/>
      <c r="AQ517" s="39"/>
      <c r="AR517" s="39"/>
      <c r="AS517" s="39"/>
      <c r="AT517" s="39"/>
      <c r="AU517" s="39"/>
      <c r="AV517" s="39"/>
      <c r="AW517" s="39"/>
      <c r="AX517" s="39"/>
      <c r="AY517" s="39"/>
      <c r="AZ517" s="39"/>
      <c r="BA517" s="39"/>
      <c r="BB517" s="39"/>
      <c r="BC517" s="39"/>
      <c r="BD517" s="39"/>
      <c r="BE517" s="39"/>
      <c r="BF517" s="39"/>
      <c r="BG517" s="39"/>
      <c r="BH517" s="39"/>
      <c r="BI517" s="39"/>
      <c r="BJ517" s="39"/>
      <c r="BK517" s="39"/>
      <c r="BL517" s="39"/>
      <c r="BM517" s="39"/>
    </row>
    <row r="518" spans="1:65" x14ac:dyDescent="0.15">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c r="AM518" s="39"/>
      <c r="AN518" s="39"/>
      <c r="AO518" s="39"/>
      <c r="AP518" s="39"/>
      <c r="AQ518" s="39"/>
      <c r="AR518" s="39"/>
      <c r="AS518" s="39"/>
      <c r="AT518" s="39"/>
      <c r="AU518" s="39"/>
      <c r="AV518" s="39"/>
      <c r="AW518" s="39"/>
      <c r="AX518" s="39"/>
      <c r="AY518" s="39"/>
      <c r="AZ518" s="39"/>
      <c r="BA518" s="39"/>
      <c r="BB518" s="39"/>
      <c r="BC518" s="39"/>
      <c r="BD518" s="39"/>
      <c r="BE518" s="39"/>
      <c r="BF518" s="39"/>
      <c r="BG518" s="39"/>
      <c r="BH518" s="39"/>
      <c r="BI518" s="39"/>
      <c r="BJ518" s="39"/>
      <c r="BK518" s="39"/>
      <c r="BL518" s="39"/>
      <c r="BM518" s="39"/>
    </row>
    <row r="519" spans="1:65" x14ac:dyDescent="0.15">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c r="AM519" s="39"/>
      <c r="AN519" s="39"/>
      <c r="AO519" s="39"/>
      <c r="AP519" s="39"/>
      <c r="AQ519" s="39"/>
      <c r="AR519" s="39"/>
      <c r="AS519" s="39"/>
      <c r="AT519" s="39"/>
      <c r="AU519" s="39"/>
      <c r="AV519" s="39"/>
      <c r="AW519" s="39"/>
      <c r="AX519" s="39"/>
      <c r="AY519" s="39"/>
      <c r="AZ519" s="39"/>
      <c r="BA519" s="39"/>
      <c r="BB519" s="39"/>
      <c r="BC519" s="39"/>
      <c r="BD519" s="39"/>
      <c r="BE519" s="39"/>
      <c r="BF519" s="39"/>
      <c r="BG519" s="39"/>
      <c r="BH519" s="39"/>
      <c r="BI519" s="39"/>
      <c r="BJ519" s="39"/>
      <c r="BK519" s="39"/>
      <c r="BL519" s="39"/>
      <c r="BM519" s="39"/>
    </row>
    <row r="520" spans="1:65" x14ac:dyDescent="0.15">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c r="AM520" s="39"/>
      <c r="AN520" s="39"/>
      <c r="AO520" s="39"/>
      <c r="AP520" s="39"/>
      <c r="AQ520" s="39"/>
      <c r="AR520" s="39"/>
      <c r="AS520" s="39"/>
      <c r="AT520" s="39"/>
      <c r="AU520" s="39"/>
      <c r="AV520" s="39"/>
      <c r="AW520" s="39"/>
      <c r="AX520" s="39"/>
      <c r="AY520" s="39"/>
      <c r="AZ520" s="39"/>
      <c r="BA520" s="39"/>
      <c r="BB520" s="39"/>
      <c r="BC520" s="39"/>
      <c r="BD520" s="39"/>
      <c r="BE520" s="39"/>
      <c r="BF520" s="39"/>
      <c r="BG520" s="39"/>
      <c r="BH520" s="39"/>
      <c r="BI520" s="39"/>
      <c r="BJ520" s="39"/>
      <c r="BK520" s="39"/>
      <c r="BL520" s="39"/>
      <c r="BM520" s="39"/>
    </row>
    <row r="521" spans="1:65" x14ac:dyDescent="0.15">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c r="AM521" s="39"/>
      <c r="AN521" s="39"/>
      <c r="AO521" s="39"/>
      <c r="AP521" s="39"/>
      <c r="AQ521" s="39"/>
      <c r="AR521" s="39"/>
      <c r="AS521" s="39"/>
      <c r="AT521" s="39"/>
      <c r="AU521" s="39"/>
      <c r="AV521" s="39"/>
      <c r="AW521" s="39"/>
      <c r="AX521" s="39"/>
      <c r="AY521" s="39"/>
      <c r="AZ521" s="39"/>
      <c r="BA521" s="39"/>
      <c r="BB521" s="39"/>
      <c r="BC521" s="39"/>
      <c r="BD521" s="39"/>
      <c r="BE521" s="39"/>
      <c r="BF521" s="39"/>
      <c r="BG521" s="39"/>
      <c r="BH521" s="39"/>
      <c r="BI521" s="39"/>
      <c r="BJ521" s="39"/>
      <c r="BK521" s="39"/>
      <c r="BL521" s="39"/>
      <c r="BM521" s="39"/>
    </row>
    <row r="522" spans="1:65" x14ac:dyDescent="0.15">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c r="AM522" s="39"/>
      <c r="AN522" s="39"/>
      <c r="AO522" s="39"/>
      <c r="AP522" s="39"/>
      <c r="AQ522" s="39"/>
      <c r="AR522" s="39"/>
      <c r="AS522" s="39"/>
      <c r="AT522" s="39"/>
      <c r="AU522" s="39"/>
      <c r="AV522" s="39"/>
      <c r="AW522" s="39"/>
      <c r="AX522" s="39"/>
      <c r="AY522" s="39"/>
      <c r="AZ522" s="39"/>
      <c r="BA522" s="39"/>
      <c r="BB522" s="39"/>
      <c r="BC522" s="39"/>
      <c r="BD522" s="39"/>
      <c r="BE522" s="39"/>
      <c r="BF522" s="39"/>
      <c r="BG522" s="39"/>
      <c r="BH522" s="39"/>
      <c r="BI522" s="39"/>
      <c r="BJ522" s="39"/>
      <c r="BK522" s="39"/>
      <c r="BL522" s="39"/>
      <c r="BM522" s="39"/>
    </row>
    <row r="523" spans="1:65" x14ac:dyDescent="0.15">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c r="AM523" s="39"/>
      <c r="AN523" s="39"/>
      <c r="AO523" s="39"/>
      <c r="AP523" s="39"/>
      <c r="AQ523" s="39"/>
      <c r="AR523" s="39"/>
      <c r="AS523" s="39"/>
      <c r="AT523" s="39"/>
      <c r="AU523" s="39"/>
      <c r="AV523" s="39"/>
      <c r="AW523" s="39"/>
      <c r="AX523" s="39"/>
      <c r="AY523" s="39"/>
      <c r="AZ523" s="39"/>
      <c r="BA523" s="39"/>
      <c r="BB523" s="39"/>
      <c r="BC523" s="39"/>
      <c r="BD523" s="39"/>
      <c r="BE523" s="39"/>
      <c r="BF523" s="39"/>
      <c r="BG523" s="39"/>
      <c r="BH523" s="39"/>
      <c r="BI523" s="39"/>
      <c r="BJ523" s="39"/>
      <c r="BK523" s="39"/>
      <c r="BL523" s="39"/>
      <c r="BM523" s="39"/>
    </row>
    <row r="524" spans="1:65" x14ac:dyDescent="0.15">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c r="AM524" s="39"/>
      <c r="AN524" s="39"/>
      <c r="AO524" s="39"/>
      <c r="AP524" s="39"/>
      <c r="AQ524" s="39"/>
      <c r="AR524" s="39"/>
      <c r="AS524" s="39"/>
      <c r="AT524" s="39"/>
      <c r="AU524" s="39"/>
      <c r="AV524" s="39"/>
      <c r="AW524" s="39"/>
      <c r="AX524" s="39"/>
      <c r="AY524" s="39"/>
      <c r="AZ524" s="39"/>
      <c r="BA524" s="39"/>
      <c r="BB524" s="39"/>
      <c r="BC524" s="39"/>
      <c r="BD524" s="39"/>
      <c r="BE524" s="39"/>
      <c r="BF524" s="39"/>
      <c r="BG524" s="39"/>
      <c r="BH524" s="39"/>
      <c r="BI524" s="39"/>
      <c r="BJ524" s="39"/>
      <c r="BK524" s="39"/>
      <c r="BL524" s="39"/>
      <c r="BM524" s="39"/>
    </row>
    <row r="525" spans="1:65" x14ac:dyDescent="0.1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c r="AM525" s="39"/>
      <c r="AN525" s="39"/>
      <c r="AO525" s="39"/>
      <c r="AP525" s="39"/>
      <c r="AQ525" s="39"/>
      <c r="AR525" s="39"/>
      <c r="AS525" s="39"/>
      <c r="AT525" s="39"/>
      <c r="AU525" s="39"/>
      <c r="AV525" s="39"/>
      <c r="AW525" s="39"/>
      <c r="AX525" s="39"/>
      <c r="AY525" s="39"/>
      <c r="AZ525" s="39"/>
      <c r="BA525" s="39"/>
      <c r="BB525" s="39"/>
      <c r="BC525" s="39"/>
      <c r="BD525" s="39"/>
      <c r="BE525" s="39"/>
      <c r="BF525" s="39"/>
      <c r="BG525" s="39"/>
      <c r="BH525" s="39"/>
      <c r="BI525" s="39"/>
      <c r="BJ525" s="39"/>
      <c r="BK525" s="39"/>
      <c r="BL525" s="39"/>
      <c r="BM525" s="39"/>
    </row>
    <row r="526" spans="1:65" x14ac:dyDescent="0.15">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c r="AM526" s="39"/>
      <c r="AN526" s="39"/>
      <c r="AO526" s="39"/>
      <c r="AP526" s="39"/>
      <c r="AQ526" s="39"/>
      <c r="AR526" s="39"/>
      <c r="AS526" s="39"/>
      <c r="AT526" s="39"/>
      <c r="AU526" s="39"/>
      <c r="AV526" s="39"/>
      <c r="AW526" s="39"/>
      <c r="AX526" s="39"/>
      <c r="AY526" s="39"/>
      <c r="AZ526" s="39"/>
      <c r="BA526" s="39"/>
      <c r="BB526" s="39"/>
      <c r="BC526" s="39"/>
      <c r="BD526" s="39"/>
      <c r="BE526" s="39"/>
      <c r="BF526" s="39"/>
      <c r="BG526" s="39"/>
      <c r="BH526" s="39"/>
      <c r="BI526" s="39"/>
      <c r="BJ526" s="39"/>
      <c r="BK526" s="39"/>
      <c r="BL526" s="39"/>
      <c r="BM526" s="39"/>
    </row>
    <row r="527" spans="1:65" x14ac:dyDescent="0.15">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c r="AM527" s="39"/>
      <c r="AN527" s="39"/>
      <c r="AO527" s="39"/>
      <c r="AP527" s="39"/>
      <c r="AQ527" s="39"/>
      <c r="AR527" s="39"/>
      <c r="AS527" s="39"/>
      <c r="AT527" s="39"/>
      <c r="AU527" s="39"/>
      <c r="AV527" s="39"/>
      <c r="AW527" s="39"/>
      <c r="AX527" s="39"/>
      <c r="AY527" s="39"/>
      <c r="AZ527" s="39"/>
      <c r="BA527" s="39"/>
      <c r="BB527" s="39"/>
      <c r="BC527" s="39"/>
      <c r="BD527" s="39"/>
      <c r="BE527" s="39"/>
      <c r="BF527" s="39"/>
      <c r="BG527" s="39"/>
      <c r="BH527" s="39"/>
      <c r="BI527" s="39"/>
      <c r="BJ527" s="39"/>
      <c r="BK527" s="39"/>
      <c r="BL527" s="39"/>
      <c r="BM527" s="39"/>
    </row>
    <row r="528" spans="1:65" x14ac:dyDescent="0.15">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c r="AP528" s="39"/>
      <c r="AQ528" s="39"/>
      <c r="AR528" s="39"/>
      <c r="AS528" s="39"/>
      <c r="AT528" s="39"/>
      <c r="AU528" s="39"/>
      <c r="AV528" s="39"/>
      <c r="AW528" s="39"/>
      <c r="AX528" s="39"/>
      <c r="AY528" s="39"/>
      <c r="AZ528" s="39"/>
      <c r="BA528" s="39"/>
      <c r="BB528" s="39"/>
      <c r="BC528" s="39"/>
      <c r="BD528" s="39"/>
      <c r="BE528" s="39"/>
      <c r="BF528" s="39"/>
      <c r="BG528" s="39"/>
      <c r="BH528" s="39"/>
      <c r="BI528" s="39"/>
      <c r="BJ528" s="39"/>
      <c r="BK528" s="39"/>
      <c r="BL528" s="39"/>
      <c r="BM528" s="39"/>
    </row>
    <row r="529" spans="1:65" x14ac:dyDescent="0.15">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c r="BA529" s="39"/>
      <c r="BB529" s="39"/>
      <c r="BC529" s="39"/>
      <c r="BD529" s="39"/>
      <c r="BE529" s="39"/>
      <c r="BF529" s="39"/>
      <c r="BG529" s="39"/>
      <c r="BH529" s="39"/>
      <c r="BI529" s="39"/>
      <c r="BJ529" s="39"/>
      <c r="BK529" s="39"/>
      <c r="BL529" s="39"/>
      <c r="BM529" s="39"/>
    </row>
    <row r="530" spans="1:65" x14ac:dyDescent="0.15">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c r="AM530" s="39"/>
      <c r="AN530" s="39"/>
      <c r="AO530" s="39"/>
      <c r="AP530" s="39"/>
      <c r="AQ530" s="39"/>
      <c r="AR530" s="39"/>
      <c r="AS530" s="39"/>
      <c r="AT530" s="39"/>
      <c r="AU530" s="39"/>
      <c r="AV530" s="39"/>
      <c r="AW530" s="39"/>
      <c r="AX530" s="39"/>
      <c r="AY530" s="39"/>
      <c r="AZ530" s="39"/>
      <c r="BA530" s="39"/>
      <c r="BB530" s="39"/>
      <c r="BC530" s="39"/>
      <c r="BD530" s="39"/>
      <c r="BE530" s="39"/>
      <c r="BF530" s="39"/>
      <c r="BG530" s="39"/>
      <c r="BH530" s="39"/>
      <c r="BI530" s="39"/>
      <c r="BJ530" s="39"/>
      <c r="BK530" s="39"/>
      <c r="BL530" s="39"/>
      <c r="BM530" s="39"/>
    </row>
    <row r="531" spans="1:65" x14ac:dyDescent="0.15">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c r="AM531" s="39"/>
      <c r="AN531" s="39"/>
      <c r="AO531" s="39"/>
      <c r="AP531" s="39"/>
      <c r="AQ531" s="39"/>
      <c r="AR531" s="39"/>
      <c r="AS531" s="39"/>
      <c r="AT531" s="39"/>
      <c r="AU531" s="39"/>
      <c r="AV531" s="39"/>
      <c r="AW531" s="39"/>
      <c r="AX531" s="39"/>
      <c r="AY531" s="39"/>
      <c r="AZ531" s="39"/>
      <c r="BA531" s="39"/>
      <c r="BB531" s="39"/>
      <c r="BC531" s="39"/>
      <c r="BD531" s="39"/>
      <c r="BE531" s="39"/>
      <c r="BF531" s="39"/>
      <c r="BG531" s="39"/>
      <c r="BH531" s="39"/>
      <c r="BI531" s="39"/>
      <c r="BJ531" s="39"/>
      <c r="BK531" s="39"/>
      <c r="BL531" s="39"/>
      <c r="BM531" s="39"/>
    </row>
    <row r="532" spans="1:65" x14ac:dyDescent="0.15">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c r="AN532" s="39"/>
      <c r="AO532" s="39"/>
      <c r="AP532" s="39"/>
      <c r="AQ532" s="39"/>
      <c r="AR532" s="39"/>
      <c r="AS532" s="39"/>
      <c r="AT532" s="39"/>
      <c r="AU532" s="39"/>
      <c r="AV532" s="39"/>
      <c r="AW532" s="39"/>
      <c r="AX532" s="39"/>
      <c r="AY532" s="39"/>
      <c r="AZ532" s="39"/>
      <c r="BA532" s="39"/>
      <c r="BB532" s="39"/>
      <c r="BC532" s="39"/>
      <c r="BD532" s="39"/>
      <c r="BE532" s="39"/>
      <c r="BF532" s="39"/>
      <c r="BG532" s="39"/>
      <c r="BH532" s="39"/>
      <c r="BI532" s="39"/>
      <c r="BJ532" s="39"/>
      <c r="BK532" s="39"/>
      <c r="BL532" s="39"/>
      <c r="BM532" s="39"/>
    </row>
    <row r="533" spans="1:65" x14ac:dyDescent="0.15">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c r="AM533" s="39"/>
      <c r="AN533" s="39"/>
      <c r="AO533" s="39"/>
      <c r="AP533" s="39"/>
      <c r="AQ533" s="39"/>
      <c r="AR533" s="39"/>
      <c r="AS533" s="39"/>
      <c r="AT533" s="39"/>
      <c r="AU533" s="39"/>
      <c r="AV533" s="39"/>
      <c r="AW533" s="39"/>
      <c r="AX533" s="39"/>
      <c r="AY533" s="39"/>
      <c r="AZ533" s="39"/>
      <c r="BA533" s="39"/>
      <c r="BB533" s="39"/>
      <c r="BC533" s="39"/>
      <c r="BD533" s="39"/>
      <c r="BE533" s="39"/>
      <c r="BF533" s="39"/>
      <c r="BG533" s="39"/>
      <c r="BH533" s="39"/>
      <c r="BI533" s="39"/>
      <c r="BJ533" s="39"/>
      <c r="BK533" s="39"/>
      <c r="BL533" s="39"/>
      <c r="BM533" s="39"/>
    </row>
    <row r="534" spans="1:65" x14ac:dyDescent="0.15">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c r="BA534" s="39"/>
      <c r="BB534" s="39"/>
      <c r="BC534" s="39"/>
      <c r="BD534" s="39"/>
      <c r="BE534" s="39"/>
      <c r="BF534" s="39"/>
      <c r="BG534" s="39"/>
      <c r="BH534" s="39"/>
      <c r="BI534" s="39"/>
      <c r="BJ534" s="39"/>
      <c r="BK534" s="39"/>
      <c r="BL534" s="39"/>
      <c r="BM534" s="39"/>
    </row>
    <row r="535" spans="1:65" x14ac:dyDescent="0.1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c r="AM535" s="39"/>
      <c r="AN535" s="39"/>
      <c r="AO535" s="39"/>
      <c r="AP535" s="39"/>
      <c r="AQ535" s="39"/>
      <c r="AR535" s="39"/>
      <c r="AS535" s="39"/>
      <c r="AT535" s="39"/>
      <c r="AU535" s="39"/>
      <c r="AV535" s="39"/>
      <c r="AW535" s="39"/>
      <c r="AX535" s="39"/>
      <c r="AY535" s="39"/>
      <c r="AZ535" s="39"/>
      <c r="BA535" s="39"/>
      <c r="BB535" s="39"/>
      <c r="BC535" s="39"/>
      <c r="BD535" s="39"/>
      <c r="BE535" s="39"/>
      <c r="BF535" s="39"/>
      <c r="BG535" s="39"/>
      <c r="BH535" s="39"/>
      <c r="BI535" s="39"/>
      <c r="BJ535" s="39"/>
      <c r="BK535" s="39"/>
      <c r="BL535" s="39"/>
      <c r="BM535" s="39"/>
    </row>
    <row r="536" spans="1:65" x14ac:dyDescent="0.15">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c r="AM536" s="39"/>
      <c r="AN536" s="39"/>
      <c r="AO536" s="39"/>
      <c r="AP536" s="39"/>
      <c r="AQ536" s="39"/>
      <c r="AR536" s="39"/>
      <c r="AS536" s="39"/>
      <c r="AT536" s="39"/>
      <c r="AU536" s="39"/>
      <c r="AV536" s="39"/>
      <c r="AW536" s="39"/>
      <c r="AX536" s="39"/>
      <c r="AY536" s="39"/>
      <c r="AZ536" s="39"/>
      <c r="BA536" s="39"/>
      <c r="BB536" s="39"/>
      <c r="BC536" s="39"/>
      <c r="BD536" s="39"/>
      <c r="BE536" s="39"/>
      <c r="BF536" s="39"/>
      <c r="BG536" s="39"/>
      <c r="BH536" s="39"/>
      <c r="BI536" s="39"/>
      <c r="BJ536" s="39"/>
      <c r="BK536" s="39"/>
      <c r="BL536" s="39"/>
      <c r="BM536" s="39"/>
    </row>
    <row r="537" spans="1:65" x14ac:dyDescent="0.15">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c r="AM537" s="39"/>
      <c r="AN537" s="39"/>
      <c r="AO537" s="39"/>
      <c r="AP537" s="39"/>
      <c r="AQ537" s="39"/>
      <c r="AR537" s="39"/>
      <c r="AS537" s="39"/>
      <c r="AT537" s="39"/>
      <c r="AU537" s="39"/>
      <c r="AV537" s="39"/>
      <c r="AW537" s="39"/>
      <c r="AX537" s="39"/>
      <c r="AY537" s="39"/>
      <c r="AZ537" s="39"/>
      <c r="BA537" s="39"/>
      <c r="BB537" s="39"/>
      <c r="BC537" s="39"/>
      <c r="BD537" s="39"/>
      <c r="BE537" s="39"/>
      <c r="BF537" s="39"/>
      <c r="BG537" s="39"/>
      <c r="BH537" s="39"/>
      <c r="BI537" s="39"/>
      <c r="BJ537" s="39"/>
      <c r="BK537" s="39"/>
      <c r="BL537" s="39"/>
      <c r="BM537" s="39"/>
    </row>
    <row r="538" spans="1:65" x14ac:dyDescent="0.15">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c r="AM538" s="39"/>
      <c r="AN538" s="39"/>
      <c r="AO538" s="39"/>
      <c r="AP538" s="39"/>
      <c r="AQ538" s="39"/>
      <c r="AR538" s="39"/>
      <c r="AS538" s="39"/>
      <c r="AT538" s="39"/>
      <c r="AU538" s="39"/>
      <c r="AV538" s="39"/>
      <c r="AW538" s="39"/>
      <c r="AX538" s="39"/>
      <c r="AY538" s="39"/>
      <c r="AZ538" s="39"/>
      <c r="BA538" s="39"/>
      <c r="BB538" s="39"/>
      <c r="BC538" s="39"/>
      <c r="BD538" s="39"/>
      <c r="BE538" s="39"/>
      <c r="BF538" s="39"/>
      <c r="BG538" s="39"/>
      <c r="BH538" s="39"/>
      <c r="BI538" s="39"/>
      <c r="BJ538" s="39"/>
      <c r="BK538" s="39"/>
      <c r="BL538" s="39"/>
      <c r="BM538" s="39"/>
    </row>
    <row r="539" spans="1:65" x14ac:dyDescent="0.15">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c r="AM539" s="39"/>
      <c r="AN539" s="39"/>
      <c r="AO539" s="39"/>
      <c r="AP539" s="39"/>
      <c r="AQ539" s="39"/>
      <c r="AR539" s="39"/>
      <c r="AS539" s="39"/>
      <c r="AT539" s="39"/>
      <c r="AU539" s="39"/>
      <c r="AV539" s="39"/>
      <c r="AW539" s="39"/>
      <c r="AX539" s="39"/>
      <c r="AY539" s="39"/>
      <c r="AZ539" s="39"/>
      <c r="BA539" s="39"/>
      <c r="BB539" s="39"/>
      <c r="BC539" s="39"/>
      <c r="BD539" s="39"/>
      <c r="BE539" s="39"/>
      <c r="BF539" s="39"/>
      <c r="BG539" s="39"/>
      <c r="BH539" s="39"/>
      <c r="BI539" s="39"/>
      <c r="BJ539" s="39"/>
      <c r="BK539" s="39"/>
      <c r="BL539" s="39"/>
      <c r="BM539" s="39"/>
    </row>
    <row r="540" spans="1:65" x14ac:dyDescent="0.15">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c r="AM540" s="39"/>
      <c r="AN540" s="39"/>
      <c r="AO540" s="39"/>
      <c r="AP540" s="39"/>
      <c r="AQ540" s="39"/>
      <c r="AR540" s="39"/>
      <c r="AS540" s="39"/>
      <c r="AT540" s="39"/>
      <c r="AU540" s="39"/>
      <c r="AV540" s="39"/>
      <c r="AW540" s="39"/>
      <c r="AX540" s="39"/>
      <c r="AY540" s="39"/>
      <c r="AZ540" s="39"/>
      <c r="BA540" s="39"/>
      <c r="BB540" s="39"/>
      <c r="BC540" s="39"/>
      <c r="BD540" s="39"/>
      <c r="BE540" s="39"/>
      <c r="BF540" s="39"/>
      <c r="BG540" s="39"/>
      <c r="BH540" s="39"/>
      <c r="BI540" s="39"/>
      <c r="BJ540" s="39"/>
      <c r="BK540" s="39"/>
      <c r="BL540" s="39"/>
      <c r="BM540" s="39"/>
    </row>
    <row r="541" spans="1:65" x14ac:dyDescent="0.15">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c r="AM541" s="39"/>
      <c r="AN541" s="39"/>
      <c r="AO541" s="39"/>
      <c r="AP541" s="39"/>
      <c r="AQ541" s="39"/>
      <c r="AR541" s="39"/>
      <c r="AS541" s="39"/>
      <c r="AT541" s="39"/>
      <c r="AU541" s="39"/>
      <c r="AV541" s="39"/>
      <c r="AW541" s="39"/>
      <c r="AX541" s="39"/>
      <c r="AY541" s="39"/>
      <c r="AZ541" s="39"/>
      <c r="BA541" s="39"/>
      <c r="BB541" s="39"/>
      <c r="BC541" s="39"/>
      <c r="BD541" s="39"/>
      <c r="BE541" s="39"/>
      <c r="BF541" s="39"/>
      <c r="BG541" s="39"/>
      <c r="BH541" s="39"/>
      <c r="BI541" s="39"/>
      <c r="BJ541" s="39"/>
      <c r="BK541" s="39"/>
      <c r="BL541" s="39"/>
      <c r="BM541" s="39"/>
    </row>
    <row r="542" spans="1:65" x14ac:dyDescent="0.15">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c r="AM542" s="39"/>
      <c r="AN542" s="39"/>
      <c r="AO542" s="39"/>
      <c r="AP542" s="39"/>
      <c r="AQ542" s="39"/>
      <c r="AR542" s="39"/>
      <c r="AS542" s="39"/>
      <c r="AT542" s="39"/>
      <c r="AU542" s="39"/>
      <c r="AV542" s="39"/>
      <c r="AW542" s="39"/>
      <c r="AX542" s="39"/>
      <c r="AY542" s="39"/>
      <c r="AZ542" s="39"/>
      <c r="BA542" s="39"/>
      <c r="BB542" s="39"/>
      <c r="BC542" s="39"/>
      <c r="BD542" s="39"/>
      <c r="BE542" s="39"/>
      <c r="BF542" s="39"/>
      <c r="BG542" s="39"/>
      <c r="BH542" s="39"/>
      <c r="BI542" s="39"/>
      <c r="BJ542" s="39"/>
      <c r="BK542" s="39"/>
      <c r="BL542" s="39"/>
      <c r="BM542" s="39"/>
    </row>
    <row r="543" spans="1:65" x14ac:dyDescent="0.15">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c r="AM543" s="39"/>
      <c r="AN543" s="39"/>
      <c r="AO543" s="39"/>
      <c r="AP543" s="39"/>
      <c r="AQ543" s="39"/>
      <c r="AR543" s="39"/>
      <c r="AS543" s="39"/>
      <c r="AT543" s="39"/>
      <c r="AU543" s="39"/>
      <c r="AV543" s="39"/>
      <c r="AW543" s="39"/>
      <c r="AX543" s="39"/>
      <c r="AY543" s="39"/>
      <c r="AZ543" s="39"/>
      <c r="BA543" s="39"/>
      <c r="BB543" s="39"/>
      <c r="BC543" s="39"/>
      <c r="BD543" s="39"/>
      <c r="BE543" s="39"/>
      <c r="BF543" s="39"/>
      <c r="BG543" s="39"/>
      <c r="BH543" s="39"/>
      <c r="BI543" s="39"/>
      <c r="BJ543" s="39"/>
      <c r="BK543" s="39"/>
      <c r="BL543" s="39"/>
      <c r="BM543" s="39"/>
    </row>
    <row r="544" spans="1:65" x14ac:dyDescent="0.15">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c r="AP544" s="39"/>
      <c r="AQ544" s="39"/>
      <c r="AR544" s="39"/>
      <c r="AS544" s="39"/>
      <c r="AT544" s="39"/>
      <c r="AU544" s="39"/>
      <c r="AV544" s="39"/>
      <c r="AW544" s="39"/>
      <c r="AX544" s="39"/>
      <c r="AY544" s="39"/>
      <c r="AZ544" s="39"/>
      <c r="BA544" s="39"/>
      <c r="BB544" s="39"/>
      <c r="BC544" s="39"/>
      <c r="BD544" s="39"/>
      <c r="BE544" s="39"/>
      <c r="BF544" s="39"/>
      <c r="BG544" s="39"/>
      <c r="BH544" s="39"/>
      <c r="BI544" s="39"/>
      <c r="BJ544" s="39"/>
      <c r="BK544" s="39"/>
      <c r="BL544" s="39"/>
      <c r="BM544" s="39"/>
    </row>
    <row r="545" spans="1:65" x14ac:dyDescent="0.1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c r="AM545" s="39"/>
      <c r="AN545" s="39"/>
      <c r="AO545" s="39"/>
      <c r="AP545" s="39"/>
      <c r="AQ545" s="39"/>
      <c r="AR545" s="39"/>
      <c r="AS545" s="39"/>
      <c r="AT545" s="39"/>
      <c r="AU545" s="39"/>
      <c r="AV545" s="39"/>
      <c r="AW545" s="39"/>
      <c r="AX545" s="39"/>
      <c r="AY545" s="39"/>
      <c r="AZ545" s="39"/>
      <c r="BA545" s="39"/>
      <c r="BB545" s="39"/>
      <c r="BC545" s="39"/>
      <c r="BD545" s="39"/>
      <c r="BE545" s="39"/>
      <c r="BF545" s="39"/>
      <c r="BG545" s="39"/>
      <c r="BH545" s="39"/>
      <c r="BI545" s="39"/>
      <c r="BJ545" s="39"/>
      <c r="BK545" s="39"/>
      <c r="BL545" s="39"/>
      <c r="BM545" s="39"/>
    </row>
    <row r="546" spans="1:65" x14ac:dyDescent="0.15">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c r="AM546" s="39"/>
      <c r="AN546" s="39"/>
      <c r="AO546" s="39"/>
      <c r="AP546" s="39"/>
      <c r="AQ546" s="39"/>
      <c r="AR546" s="39"/>
      <c r="AS546" s="39"/>
      <c r="AT546" s="39"/>
      <c r="AU546" s="39"/>
      <c r="AV546" s="39"/>
      <c r="AW546" s="39"/>
      <c r="AX546" s="39"/>
      <c r="AY546" s="39"/>
      <c r="AZ546" s="39"/>
      <c r="BA546" s="39"/>
      <c r="BB546" s="39"/>
      <c r="BC546" s="39"/>
      <c r="BD546" s="39"/>
      <c r="BE546" s="39"/>
      <c r="BF546" s="39"/>
      <c r="BG546" s="39"/>
      <c r="BH546" s="39"/>
      <c r="BI546" s="39"/>
      <c r="BJ546" s="39"/>
      <c r="BK546" s="39"/>
      <c r="BL546" s="39"/>
      <c r="BM546" s="39"/>
    </row>
    <row r="547" spans="1:65" x14ac:dyDescent="0.15">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c r="AM547" s="39"/>
      <c r="AN547" s="39"/>
      <c r="AO547" s="39"/>
      <c r="AP547" s="39"/>
      <c r="AQ547" s="39"/>
      <c r="AR547" s="39"/>
      <c r="AS547" s="39"/>
      <c r="AT547" s="39"/>
      <c r="AU547" s="39"/>
      <c r="AV547" s="39"/>
      <c r="AW547" s="39"/>
      <c r="AX547" s="39"/>
      <c r="AY547" s="39"/>
      <c r="AZ547" s="39"/>
      <c r="BA547" s="39"/>
      <c r="BB547" s="39"/>
      <c r="BC547" s="39"/>
      <c r="BD547" s="39"/>
      <c r="BE547" s="39"/>
      <c r="BF547" s="39"/>
      <c r="BG547" s="39"/>
      <c r="BH547" s="39"/>
      <c r="BI547" s="39"/>
      <c r="BJ547" s="39"/>
      <c r="BK547" s="39"/>
      <c r="BL547" s="39"/>
      <c r="BM547" s="39"/>
    </row>
    <row r="548" spans="1:65" x14ac:dyDescent="0.15">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c r="BA548" s="39"/>
      <c r="BB548" s="39"/>
      <c r="BC548" s="39"/>
      <c r="BD548" s="39"/>
      <c r="BE548" s="39"/>
      <c r="BF548" s="39"/>
      <c r="BG548" s="39"/>
      <c r="BH548" s="39"/>
      <c r="BI548" s="39"/>
      <c r="BJ548" s="39"/>
      <c r="BK548" s="39"/>
      <c r="BL548" s="39"/>
      <c r="BM548" s="39"/>
    </row>
    <row r="549" spans="1:65" x14ac:dyDescent="0.15">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c r="AP549" s="39"/>
      <c r="AQ549" s="39"/>
      <c r="AR549" s="39"/>
      <c r="AS549" s="39"/>
      <c r="AT549" s="39"/>
      <c r="AU549" s="39"/>
      <c r="AV549" s="39"/>
      <c r="AW549" s="39"/>
      <c r="AX549" s="39"/>
      <c r="AY549" s="39"/>
      <c r="AZ549" s="39"/>
      <c r="BA549" s="39"/>
      <c r="BB549" s="39"/>
      <c r="BC549" s="39"/>
      <c r="BD549" s="39"/>
      <c r="BE549" s="39"/>
      <c r="BF549" s="39"/>
      <c r="BG549" s="39"/>
      <c r="BH549" s="39"/>
      <c r="BI549" s="39"/>
      <c r="BJ549" s="39"/>
      <c r="BK549" s="39"/>
      <c r="BL549" s="39"/>
      <c r="BM549" s="39"/>
    </row>
    <row r="550" spans="1:65" x14ac:dyDescent="0.15">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c r="AM550" s="39"/>
      <c r="AN550" s="39"/>
      <c r="AO550" s="39"/>
      <c r="AP550" s="39"/>
      <c r="AQ550" s="39"/>
      <c r="AR550" s="39"/>
      <c r="AS550" s="39"/>
      <c r="AT550" s="39"/>
      <c r="AU550" s="39"/>
      <c r="AV550" s="39"/>
      <c r="AW550" s="39"/>
      <c r="AX550" s="39"/>
      <c r="AY550" s="39"/>
      <c r="AZ550" s="39"/>
      <c r="BA550" s="39"/>
      <c r="BB550" s="39"/>
      <c r="BC550" s="39"/>
      <c r="BD550" s="39"/>
      <c r="BE550" s="39"/>
      <c r="BF550" s="39"/>
      <c r="BG550" s="39"/>
      <c r="BH550" s="39"/>
      <c r="BI550" s="39"/>
      <c r="BJ550" s="39"/>
      <c r="BK550" s="39"/>
      <c r="BL550" s="39"/>
      <c r="BM550" s="39"/>
    </row>
    <row r="551" spans="1:65" x14ac:dyDescent="0.15">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c r="AM551" s="39"/>
      <c r="AN551" s="39"/>
      <c r="AO551" s="39"/>
      <c r="AP551" s="39"/>
      <c r="AQ551" s="39"/>
      <c r="AR551" s="39"/>
      <c r="AS551" s="39"/>
      <c r="AT551" s="39"/>
      <c r="AU551" s="39"/>
      <c r="AV551" s="39"/>
      <c r="AW551" s="39"/>
      <c r="AX551" s="39"/>
      <c r="AY551" s="39"/>
      <c r="AZ551" s="39"/>
      <c r="BA551" s="39"/>
      <c r="BB551" s="39"/>
      <c r="BC551" s="39"/>
      <c r="BD551" s="39"/>
      <c r="BE551" s="39"/>
      <c r="BF551" s="39"/>
      <c r="BG551" s="39"/>
      <c r="BH551" s="39"/>
      <c r="BI551" s="39"/>
      <c r="BJ551" s="39"/>
      <c r="BK551" s="39"/>
      <c r="BL551" s="39"/>
      <c r="BM551" s="39"/>
    </row>
    <row r="552" spans="1:65" x14ac:dyDescent="0.15">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c r="AM552" s="39"/>
      <c r="AN552" s="39"/>
      <c r="AO552" s="39"/>
      <c r="AP552" s="39"/>
      <c r="AQ552" s="39"/>
      <c r="AR552" s="39"/>
      <c r="AS552" s="39"/>
      <c r="AT552" s="39"/>
      <c r="AU552" s="39"/>
      <c r="AV552" s="39"/>
      <c r="AW552" s="39"/>
      <c r="AX552" s="39"/>
      <c r="AY552" s="39"/>
      <c r="AZ552" s="39"/>
      <c r="BA552" s="39"/>
      <c r="BB552" s="39"/>
      <c r="BC552" s="39"/>
      <c r="BD552" s="39"/>
      <c r="BE552" s="39"/>
      <c r="BF552" s="39"/>
      <c r="BG552" s="39"/>
      <c r="BH552" s="39"/>
      <c r="BI552" s="39"/>
      <c r="BJ552" s="39"/>
      <c r="BK552" s="39"/>
      <c r="BL552" s="39"/>
      <c r="BM552" s="39"/>
    </row>
    <row r="553" spans="1:65" x14ac:dyDescent="0.15">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c r="BA553" s="39"/>
      <c r="BB553" s="39"/>
      <c r="BC553" s="39"/>
      <c r="BD553" s="39"/>
      <c r="BE553" s="39"/>
      <c r="BF553" s="39"/>
      <c r="BG553" s="39"/>
      <c r="BH553" s="39"/>
      <c r="BI553" s="39"/>
      <c r="BJ553" s="39"/>
      <c r="BK553" s="39"/>
      <c r="BL553" s="39"/>
      <c r="BM553" s="39"/>
    </row>
    <row r="554" spans="1:65" x14ac:dyDescent="0.15">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c r="AM554" s="39"/>
      <c r="AN554" s="39"/>
      <c r="AO554" s="39"/>
      <c r="AP554" s="39"/>
      <c r="AQ554" s="39"/>
      <c r="AR554" s="39"/>
      <c r="AS554" s="39"/>
      <c r="AT554" s="39"/>
      <c r="AU554" s="39"/>
      <c r="AV554" s="39"/>
      <c r="AW554" s="39"/>
      <c r="AX554" s="39"/>
      <c r="AY554" s="39"/>
      <c r="AZ554" s="39"/>
      <c r="BA554" s="39"/>
      <c r="BB554" s="39"/>
      <c r="BC554" s="39"/>
      <c r="BD554" s="39"/>
      <c r="BE554" s="39"/>
      <c r="BF554" s="39"/>
      <c r="BG554" s="39"/>
      <c r="BH554" s="39"/>
      <c r="BI554" s="39"/>
      <c r="BJ554" s="39"/>
      <c r="BK554" s="39"/>
      <c r="BL554" s="39"/>
      <c r="BM554" s="39"/>
    </row>
    <row r="555" spans="1:65" x14ac:dyDescent="0.1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c r="AM555" s="39"/>
      <c r="AN555" s="39"/>
      <c r="AO555" s="39"/>
      <c r="AP555" s="39"/>
      <c r="AQ555" s="39"/>
      <c r="AR555" s="39"/>
      <c r="AS555" s="39"/>
      <c r="AT555" s="39"/>
      <c r="AU555" s="39"/>
      <c r="AV555" s="39"/>
      <c r="AW555" s="39"/>
      <c r="AX555" s="39"/>
      <c r="AY555" s="39"/>
      <c r="AZ555" s="39"/>
      <c r="BA555" s="39"/>
      <c r="BB555" s="39"/>
      <c r="BC555" s="39"/>
      <c r="BD555" s="39"/>
      <c r="BE555" s="39"/>
      <c r="BF555" s="39"/>
      <c r="BG555" s="39"/>
      <c r="BH555" s="39"/>
      <c r="BI555" s="39"/>
      <c r="BJ555" s="39"/>
      <c r="BK555" s="39"/>
      <c r="BL555" s="39"/>
      <c r="BM555" s="39"/>
    </row>
    <row r="556" spans="1:65" x14ac:dyDescent="0.15">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c r="AM556" s="39"/>
      <c r="AN556" s="39"/>
      <c r="AO556" s="39"/>
      <c r="AP556" s="39"/>
      <c r="AQ556" s="39"/>
      <c r="AR556" s="39"/>
      <c r="AS556" s="39"/>
      <c r="AT556" s="39"/>
      <c r="AU556" s="39"/>
      <c r="AV556" s="39"/>
      <c r="AW556" s="39"/>
      <c r="AX556" s="39"/>
      <c r="AY556" s="39"/>
      <c r="AZ556" s="39"/>
      <c r="BA556" s="39"/>
      <c r="BB556" s="39"/>
      <c r="BC556" s="39"/>
      <c r="BD556" s="39"/>
      <c r="BE556" s="39"/>
      <c r="BF556" s="39"/>
      <c r="BG556" s="39"/>
      <c r="BH556" s="39"/>
      <c r="BI556" s="39"/>
      <c r="BJ556" s="39"/>
      <c r="BK556" s="39"/>
      <c r="BL556" s="39"/>
      <c r="BM556" s="39"/>
    </row>
    <row r="557" spans="1:65" x14ac:dyDescent="0.15">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c r="AM557" s="39"/>
      <c r="AN557" s="39"/>
      <c r="AO557" s="39"/>
      <c r="AP557" s="39"/>
      <c r="AQ557" s="39"/>
      <c r="AR557" s="39"/>
      <c r="AS557" s="39"/>
      <c r="AT557" s="39"/>
      <c r="AU557" s="39"/>
      <c r="AV557" s="39"/>
      <c r="AW557" s="39"/>
      <c r="AX557" s="39"/>
      <c r="AY557" s="39"/>
      <c r="AZ557" s="39"/>
      <c r="BA557" s="39"/>
      <c r="BB557" s="39"/>
      <c r="BC557" s="39"/>
      <c r="BD557" s="39"/>
      <c r="BE557" s="39"/>
      <c r="BF557" s="39"/>
      <c r="BG557" s="39"/>
      <c r="BH557" s="39"/>
      <c r="BI557" s="39"/>
      <c r="BJ557" s="39"/>
      <c r="BK557" s="39"/>
      <c r="BL557" s="39"/>
      <c r="BM557" s="39"/>
    </row>
    <row r="558" spans="1:65" x14ac:dyDescent="0.15">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c r="AM558" s="39"/>
      <c r="AN558" s="39"/>
      <c r="AO558" s="39"/>
      <c r="AP558" s="39"/>
      <c r="AQ558" s="39"/>
      <c r="AR558" s="39"/>
      <c r="AS558" s="39"/>
      <c r="AT558" s="39"/>
      <c r="AU558" s="39"/>
      <c r="AV558" s="39"/>
      <c r="AW558" s="39"/>
      <c r="AX558" s="39"/>
      <c r="AY558" s="39"/>
      <c r="AZ558" s="39"/>
      <c r="BA558" s="39"/>
      <c r="BB558" s="39"/>
      <c r="BC558" s="39"/>
      <c r="BD558" s="39"/>
      <c r="BE558" s="39"/>
      <c r="BF558" s="39"/>
      <c r="BG558" s="39"/>
      <c r="BH558" s="39"/>
      <c r="BI558" s="39"/>
      <c r="BJ558" s="39"/>
      <c r="BK558" s="39"/>
      <c r="BL558" s="39"/>
      <c r="BM558" s="39"/>
    </row>
    <row r="559" spans="1:65" x14ac:dyDescent="0.15">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c r="AM559" s="39"/>
      <c r="AN559" s="39"/>
      <c r="AO559" s="39"/>
      <c r="AP559" s="39"/>
      <c r="AQ559" s="39"/>
      <c r="AR559" s="39"/>
      <c r="AS559" s="39"/>
      <c r="AT559" s="39"/>
      <c r="AU559" s="39"/>
      <c r="AV559" s="39"/>
      <c r="AW559" s="39"/>
      <c r="AX559" s="39"/>
      <c r="AY559" s="39"/>
      <c r="AZ559" s="39"/>
      <c r="BA559" s="39"/>
      <c r="BB559" s="39"/>
      <c r="BC559" s="39"/>
      <c r="BD559" s="39"/>
      <c r="BE559" s="39"/>
      <c r="BF559" s="39"/>
      <c r="BG559" s="39"/>
      <c r="BH559" s="39"/>
      <c r="BI559" s="39"/>
      <c r="BJ559" s="39"/>
      <c r="BK559" s="39"/>
      <c r="BL559" s="39"/>
      <c r="BM559" s="39"/>
    </row>
    <row r="560" spans="1:65" x14ac:dyDescent="0.15">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B560" s="39"/>
      <c r="BC560" s="39"/>
      <c r="BD560" s="39"/>
      <c r="BE560" s="39"/>
      <c r="BF560" s="39"/>
      <c r="BG560" s="39"/>
      <c r="BH560" s="39"/>
      <c r="BI560" s="39"/>
      <c r="BJ560" s="39"/>
      <c r="BK560" s="39"/>
      <c r="BL560" s="39"/>
      <c r="BM560" s="39"/>
    </row>
    <row r="561" spans="1:65" x14ac:dyDescent="0.15">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c r="AM561" s="39"/>
      <c r="AN561" s="39"/>
      <c r="AO561" s="39"/>
      <c r="AP561" s="39"/>
      <c r="AQ561" s="39"/>
      <c r="AR561" s="39"/>
      <c r="AS561" s="39"/>
      <c r="AT561" s="39"/>
      <c r="AU561" s="39"/>
      <c r="AV561" s="39"/>
      <c r="AW561" s="39"/>
      <c r="AX561" s="39"/>
      <c r="AY561" s="39"/>
      <c r="AZ561" s="39"/>
      <c r="BA561" s="39"/>
      <c r="BB561" s="39"/>
      <c r="BC561" s="39"/>
      <c r="BD561" s="39"/>
      <c r="BE561" s="39"/>
      <c r="BF561" s="39"/>
      <c r="BG561" s="39"/>
      <c r="BH561" s="39"/>
      <c r="BI561" s="39"/>
      <c r="BJ561" s="39"/>
      <c r="BK561" s="39"/>
      <c r="BL561" s="39"/>
      <c r="BM561" s="39"/>
    </row>
    <row r="562" spans="1:65" x14ac:dyDescent="0.15">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c r="AM562" s="39"/>
      <c r="AN562" s="39"/>
      <c r="AO562" s="39"/>
      <c r="AP562" s="39"/>
      <c r="AQ562" s="39"/>
      <c r="AR562" s="39"/>
      <c r="AS562" s="39"/>
      <c r="AT562" s="39"/>
      <c r="AU562" s="39"/>
      <c r="AV562" s="39"/>
      <c r="AW562" s="39"/>
      <c r="AX562" s="39"/>
      <c r="AY562" s="39"/>
      <c r="AZ562" s="39"/>
      <c r="BA562" s="39"/>
      <c r="BB562" s="39"/>
      <c r="BC562" s="39"/>
      <c r="BD562" s="39"/>
      <c r="BE562" s="39"/>
      <c r="BF562" s="39"/>
      <c r="BG562" s="39"/>
      <c r="BH562" s="39"/>
      <c r="BI562" s="39"/>
      <c r="BJ562" s="39"/>
      <c r="BK562" s="39"/>
      <c r="BL562" s="39"/>
      <c r="BM562" s="39"/>
    </row>
    <row r="563" spans="1:65" x14ac:dyDescent="0.15">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c r="AP563" s="39"/>
      <c r="AQ563" s="39"/>
      <c r="AR563" s="39"/>
      <c r="AS563" s="39"/>
      <c r="AT563" s="39"/>
      <c r="AU563" s="39"/>
      <c r="AV563" s="39"/>
      <c r="AW563" s="39"/>
      <c r="AX563" s="39"/>
      <c r="AY563" s="39"/>
      <c r="AZ563" s="39"/>
      <c r="BA563" s="39"/>
      <c r="BB563" s="39"/>
      <c r="BC563" s="39"/>
      <c r="BD563" s="39"/>
      <c r="BE563" s="39"/>
      <c r="BF563" s="39"/>
      <c r="BG563" s="39"/>
      <c r="BH563" s="39"/>
      <c r="BI563" s="39"/>
      <c r="BJ563" s="39"/>
      <c r="BK563" s="39"/>
      <c r="BL563" s="39"/>
      <c r="BM563" s="39"/>
    </row>
    <row r="564" spans="1:65" x14ac:dyDescent="0.15">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c r="AM564" s="39"/>
      <c r="AN564" s="39"/>
      <c r="AO564" s="39"/>
      <c r="AP564" s="39"/>
      <c r="AQ564" s="39"/>
      <c r="AR564" s="39"/>
      <c r="AS564" s="39"/>
      <c r="AT564" s="39"/>
      <c r="AU564" s="39"/>
      <c r="AV564" s="39"/>
      <c r="AW564" s="39"/>
      <c r="AX564" s="39"/>
      <c r="AY564" s="39"/>
      <c r="AZ564" s="39"/>
      <c r="BA564" s="39"/>
      <c r="BB564" s="39"/>
      <c r="BC564" s="39"/>
      <c r="BD564" s="39"/>
      <c r="BE564" s="39"/>
      <c r="BF564" s="39"/>
      <c r="BG564" s="39"/>
      <c r="BH564" s="39"/>
      <c r="BI564" s="39"/>
      <c r="BJ564" s="39"/>
      <c r="BK564" s="39"/>
      <c r="BL564" s="39"/>
      <c r="BM564" s="39"/>
    </row>
    <row r="565" spans="1:65" x14ac:dyDescent="0.1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c r="AM565" s="39"/>
      <c r="AN565" s="39"/>
      <c r="AO565" s="39"/>
      <c r="AP565" s="39"/>
      <c r="AQ565" s="39"/>
      <c r="AR565" s="39"/>
      <c r="AS565" s="39"/>
      <c r="AT565" s="39"/>
      <c r="AU565" s="39"/>
      <c r="AV565" s="39"/>
      <c r="AW565" s="39"/>
      <c r="AX565" s="39"/>
      <c r="AY565" s="39"/>
      <c r="AZ565" s="39"/>
      <c r="BA565" s="39"/>
      <c r="BB565" s="39"/>
      <c r="BC565" s="39"/>
      <c r="BD565" s="39"/>
      <c r="BE565" s="39"/>
      <c r="BF565" s="39"/>
      <c r="BG565" s="39"/>
      <c r="BH565" s="39"/>
      <c r="BI565" s="39"/>
      <c r="BJ565" s="39"/>
      <c r="BK565" s="39"/>
      <c r="BL565" s="39"/>
      <c r="BM565" s="39"/>
    </row>
    <row r="566" spans="1:65" x14ac:dyDescent="0.15">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B566" s="39"/>
      <c r="BC566" s="39"/>
      <c r="BD566" s="39"/>
      <c r="BE566" s="39"/>
      <c r="BF566" s="39"/>
      <c r="BG566" s="39"/>
      <c r="BH566" s="39"/>
      <c r="BI566" s="39"/>
      <c r="BJ566" s="39"/>
      <c r="BK566" s="39"/>
      <c r="BL566" s="39"/>
      <c r="BM566" s="39"/>
    </row>
    <row r="567" spans="1:65" x14ac:dyDescent="0.15">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c r="AM567" s="39"/>
      <c r="AN567" s="39"/>
      <c r="AO567" s="39"/>
      <c r="AP567" s="39"/>
      <c r="AQ567" s="39"/>
      <c r="AR567" s="39"/>
      <c r="AS567" s="39"/>
      <c r="AT567" s="39"/>
      <c r="AU567" s="39"/>
      <c r="AV567" s="39"/>
      <c r="AW567" s="39"/>
      <c r="AX567" s="39"/>
      <c r="AY567" s="39"/>
      <c r="AZ567" s="39"/>
      <c r="BA567" s="39"/>
      <c r="BB567" s="39"/>
      <c r="BC567" s="39"/>
      <c r="BD567" s="39"/>
      <c r="BE567" s="39"/>
      <c r="BF567" s="39"/>
      <c r="BG567" s="39"/>
      <c r="BH567" s="39"/>
      <c r="BI567" s="39"/>
      <c r="BJ567" s="39"/>
      <c r="BK567" s="39"/>
      <c r="BL567" s="39"/>
      <c r="BM567" s="39"/>
    </row>
    <row r="568" spans="1:65" x14ac:dyDescent="0.15">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c r="AP568" s="39"/>
      <c r="AQ568" s="39"/>
      <c r="AR568" s="39"/>
      <c r="AS568" s="39"/>
      <c r="AT568" s="39"/>
      <c r="AU568" s="39"/>
      <c r="AV568" s="39"/>
      <c r="AW568" s="39"/>
      <c r="AX568" s="39"/>
      <c r="AY568" s="39"/>
      <c r="AZ568" s="39"/>
      <c r="BA568" s="39"/>
      <c r="BB568" s="39"/>
      <c r="BC568" s="39"/>
      <c r="BD568" s="39"/>
      <c r="BE568" s="39"/>
      <c r="BF568" s="39"/>
      <c r="BG568" s="39"/>
      <c r="BH568" s="39"/>
      <c r="BI568" s="39"/>
      <c r="BJ568" s="39"/>
      <c r="BK568" s="39"/>
      <c r="BL568" s="39"/>
      <c r="BM568" s="39"/>
    </row>
    <row r="569" spans="1:65" x14ac:dyDescent="0.15">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c r="AM569" s="39"/>
      <c r="AN569" s="39"/>
      <c r="AO569" s="39"/>
      <c r="AP569" s="39"/>
      <c r="AQ569" s="39"/>
      <c r="AR569" s="39"/>
      <c r="AS569" s="39"/>
      <c r="AT569" s="39"/>
      <c r="AU569" s="39"/>
      <c r="AV569" s="39"/>
      <c r="AW569" s="39"/>
      <c r="AX569" s="39"/>
      <c r="AY569" s="39"/>
      <c r="AZ569" s="39"/>
      <c r="BA569" s="39"/>
      <c r="BB569" s="39"/>
      <c r="BC569" s="39"/>
      <c r="BD569" s="39"/>
      <c r="BE569" s="39"/>
      <c r="BF569" s="39"/>
      <c r="BG569" s="39"/>
      <c r="BH569" s="39"/>
      <c r="BI569" s="39"/>
      <c r="BJ569" s="39"/>
      <c r="BK569" s="39"/>
      <c r="BL569" s="39"/>
      <c r="BM569" s="39"/>
    </row>
    <row r="570" spans="1:65" x14ac:dyDescent="0.15">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c r="AM570" s="39"/>
      <c r="AN570" s="39"/>
      <c r="AO570" s="39"/>
      <c r="AP570" s="39"/>
      <c r="AQ570" s="39"/>
      <c r="AR570" s="39"/>
      <c r="AS570" s="39"/>
      <c r="AT570" s="39"/>
      <c r="AU570" s="39"/>
      <c r="AV570" s="39"/>
      <c r="AW570" s="39"/>
      <c r="AX570" s="39"/>
      <c r="AY570" s="39"/>
      <c r="AZ570" s="39"/>
      <c r="BA570" s="39"/>
      <c r="BB570" s="39"/>
      <c r="BC570" s="39"/>
      <c r="BD570" s="39"/>
      <c r="BE570" s="39"/>
      <c r="BF570" s="39"/>
      <c r="BG570" s="39"/>
      <c r="BH570" s="39"/>
      <c r="BI570" s="39"/>
      <c r="BJ570" s="39"/>
      <c r="BK570" s="39"/>
      <c r="BL570" s="39"/>
      <c r="BM570" s="39"/>
    </row>
    <row r="571" spans="1:65" x14ac:dyDescent="0.15">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c r="AM571" s="39"/>
      <c r="AN571" s="39"/>
      <c r="AO571" s="39"/>
      <c r="AP571" s="39"/>
      <c r="AQ571" s="39"/>
      <c r="AR571" s="39"/>
      <c r="AS571" s="39"/>
      <c r="AT571" s="39"/>
      <c r="AU571" s="39"/>
      <c r="AV571" s="39"/>
      <c r="AW571" s="39"/>
      <c r="AX571" s="39"/>
      <c r="AY571" s="39"/>
      <c r="AZ571" s="39"/>
      <c r="BA571" s="39"/>
      <c r="BB571" s="39"/>
      <c r="BC571" s="39"/>
      <c r="BD571" s="39"/>
      <c r="BE571" s="39"/>
      <c r="BF571" s="39"/>
      <c r="BG571" s="39"/>
      <c r="BH571" s="39"/>
      <c r="BI571" s="39"/>
      <c r="BJ571" s="39"/>
      <c r="BK571" s="39"/>
      <c r="BL571" s="39"/>
      <c r="BM571" s="39"/>
    </row>
    <row r="572" spans="1:65" x14ac:dyDescent="0.15">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c r="BA572" s="39"/>
      <c r="BB572" s="39"/>
      <c r="BC572" s="39"/>
      <c r="BD572" s="39"/>
      <c r="BE572" s="39"/>
      <c r="BF572" s="39"/>
      <c r="BG572" s="39"/>
      <c r="BH572" s="39"/>
      <c r="BI572" s="39"/>
      <c r="BJ572" s="39"/>
      <c r="BK572" s="39"/>
      <c r="BL572" s="39"/>
      <c r="BM572" s="39"/>
    </row>
    <row r="573" spans="1:65" x14ac:dyDescent="0.15">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c r="AM573" s="39"/>
      <c r="AN573" s="39"/>
      <c r="AO573" s="39"/>
      <c r="AP573" s="39"/>
      <c r="AQ573" s="39"/>
      <c r="AR573" s="39"/>
      <c r="AS573" s="39"/>
      <c r="AT573" s="39"/>
      <c r="AU573" s="39"/>
      <c r="AV573" s="39"/>
      <c r="AW573" s="39"/>
      <c r="AX573" s="39"/>
      <c r="AY573" s="39"/>
      <c r="AZ573" s="39"/>
      <c r="BA573" s="39"/>
      <c r="BB573" s="39"/>
      <c r="BC573" s="39"/>
      <c r="BD573" s="39"/>
      <c r="BE573" s="39"/>
      <c r="BF573" s="39"/>
      <c r="BG573" s="39"/>
      <c r="BH573" s="39"/>
      <c r="BI573" s="39"/>
      <c r="BJ573" s="39"/>
      <c r="BK573" s="39"/>
      <c r="BL573" s="39"/>
      <c r="BM573" s="39"/>
    </row>
    <row r="574" spans="1:65" x14ac:dyDescent="0.15">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c r="AM574" s="39"/>
      <c r="AN574" s="39"/>
      <c r="AO574" s="39"/>
      <c r="AP574" s="39"/>
      <c r="AQ574" s="39"/>
      <c r="AR574" s="39"/>
      <c r="AS574" s="39"/>
      <c r="AT574" s="39"/>
      <c r="AU574" s="39"/>
      <c r="AV574" s="39"/>
      <c r="AW574" s="39"/>
      <c r="AX574" s="39"/>
      <c r="AY574" s="39"/>
      <c r="AZ574" s="39"/>
      <c r="BA574" s="39"/>
      <c r="BB574" s="39"/>
      <c r="BC574" s="39"/>
      <c r="BD574" s="39"/>
      <c r="BE574" s="39"/>
      <c r="BF574" s="39"/>
      <c r="BG574" s="39"/>
      <c r="BH574" s="39"/>
      <c r="BI574" s="39"/>
      <c r="BJ574" s="39"/>
      <c r="BK574" s="39"/>
      <c r="BL574" s="39"/>
      <c r="BM574" s="39"/>
    </row>
    <row r="575" spans="1:65" x14ac:dyDescent="0.1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c r="AP575" s="39"/>
      <c r="AQ575" s="39"/>
      <c r="AR575" s="39"/>
      <c r="AS575" s="39"/>
      <c r="AT575" s="39"/>
      <c r="AU575" s="39"/>
      <c r="AV575" s="39"/>
      <c r="AW575" s="39"/>
      <c r="AX575" s="39"/>
      <c r="AY575" s="39"/>
      <c r="AZ575" s="39"/>
      <c r="BA575" s="39"/>
      <c r="BB575" s="39"/>
      <c r="BC575" s="39"/>
      <c r="BD575" s="39"/>
      <c r="BE575" s="39"/>
      <c r="BF575" s="39"/>
      <c r="BG575" s="39"/>
      <c r="BH575" s="39"/>
      <c r="BI575" s="39"/>
      <c r="BJ575" s="39"/>
      <c r="BK575" s="39"/>
      <c r="BL575" s="39"/>
      <c r="BM575" s="39"/>
    </row>
    <row r="576" spans="1:65" x14ac:dyDescent="0.15">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c r="AM576" s="39"/>
      <c r="AN576" s="39"/>
      <c r="AO576" s="39"/>
      <c r="AP576" s="39"/>
      <c r="AQ576" s="39"/>
      <c r="AR576" s="39"/>
      <c r="AS576" s="39"/>
      <c r="AT576" s="39"/>
      <c r="AU576" s="39"/>
      <c r="AV576" s="39"/>
      <c r="AW576" s="39"/>
      <c r="AX576" s="39"/>
      <c r="AY576" s="39"/>
      <c r="AZ576" s="39"/>
      <c r="BA576" s="39"/>
      <c r="BB576" s="39"/>
      <c r="BC576" s="39"/>
      <c r="BD576" s="39"/>
      <c r="BE576" s="39"/>
      <c r="BF576" s="39"/>
      <c r="BG576" s="39"/>
      <c r="BH576" s="39"/>
      <c r="BI576" s="39"/>
      <c r="BJ576" s="39"/>
      <c r="BK576" s="39"/>
      <c r="BL576" s="39"/>
      <c r="BM576" s="39"/>
    </row>
    <row r="577" spans="1:65" x14ac:dyDescent="0.15">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c r="AM577" s="39"/>
      <c r="AN577" s="39"/>
      <c r="AO577" s="39"/>
      <c r="AP577" s="39"/>
      <c r="AQ577" s="39"/>
      <c r="AR577" s="39"/>
      <c r="AS577" s="39"/>
      <c r="AT577" s="39"/>
      <c r="AU577" s="39"/>
      <c r="AV577" s="39"/>
      <c r="AW577" s="39"/>
      <c r="AX577" s="39"/>
      <c r="AY577" s="39"/>
      <c r="AZ577" s="39"/>
      <c r="BA577" s="39"/>
      <c r="BB577" s="39"/>
      <c r="BC577" s="39"/>
      <c r="BD577" s="39"/>
      <c r="BE577" s="39"/>
      <c r="BF577" s="39"/>
      <c r="BG577" s="39"/>
      <c r="BH577" s="39"/>
      <c r="BI577" s="39"/>
      <c r="BJ577" s="39"/>
      <c r="BK577" s="39"/>
      <c r="BL577" s="39"/>
      <c r="BM577" s="39"/>
    </row>
    <row r="578" spans="1:65" x14ac:dyDescent="0.15">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c r="AM578" s="39"/>
      <c r="AN578" s="39"/>
      <c r="AO578" s="39"/>
      <c r="AP578" s="39"/>
      <c r="AQ578" s="39"/>
      <c r="AR578" s="39"/>
      <c r="AS578" s="39"/>
      <c r="AT578" s="39"/>
      <c r="AU578" s="39"/>
      <c r="AV578" s="39"/>
      <c r="AW578" s="39"/>
      <c r="AX578" s="39"/>
      <c r="AY578" s="39"/>
      <c r="AZ578" s="39"/>
      <c r="BA578" s="39"/>
      <c r="BB578" s="39"/>
      <c r="BC578" s="39"/>
      <c r="BD578" s="39"/>
      <c r="BE578" s="39"/>
      <c r="BF578" s="39"/>
      <c r="BG578" s="39"/>
      <c r="BH578" s="39"/>
      <c r="BI578" s="39"/>
      <c r="BJ578" s="39"/>
      <c r="BK578" s="39"/>
      <c r="BL578" s="39"/>
      <c r="BM578" s="39"/>
    </row>
    <row r="579" spans="1:65" x14ac:dyDescent="0.15">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c r="AM579" s="39"/>
      <c r="AN579" s="39"/>
      <c r="AO579" s="39"/>
      <c r="AP579" s="39"/>
      <c r="AQ579" s="39"/>
      <c r="AR579" s="39"/>
      <c r="AS579" s="39"/>
      <c r="AT579" s="39"/>
      <c r="AU579" s="39"/>
      <c r="AV579" s="39"/>
      <c r="AW579" s="39"/>
      <c r="AX579" s="39"/>
      <c r="AY579" s="39"/>
      <c r="AZ579" s="39"/>
      <c r="BA579" s="39"/>
      <c r="BB579" s="39"/>
      <c r="BC579" s="39"/>
      <c r="BD579" s="39"/>
      <c r="BE579" s="39"/>
      <c r="BF579" s="39"/>
      <c r="BG579" s="39"/>
      <c r="BH579" s="39"/>
      <c r="BI579" s="39"/>
      <c r="BJ579" s="39"/>
      <c r="BK579" s="39"/>
      <c r="BL579" s="39"/>
      <c r="BM579" s="39"/>
    </row>
    <row r="580" spans="1:65" x14ac:dyDescent="0.15">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c r="BA580" s="39"/>
      <c r="BB580" s="39"/>
      <c r="BC580" s="39"/>
      <c r="BD580" s="39"/>
      <c r="BE580" s="39"/>
      <c r="BF580" s="39"/>
      <c r="BG580" s="39"/>
      <c r="BH580" s="39"/>
      <c r="BI580" s="39"/>
      <c r="BJ580" s="39"/>
      <c r="BK580" s="39"/>
      <c r="BL580" s="39"/>
      <c r="BM580" s="39"/>
    </row>
    <row r="581" spans="1:65" x14ac:dyDescent="0.15">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c r="AP581" s="39"/>
      <c r="AQ581" s="39"/>
      <c r="AR581" s="39"/>
      <c r="AS581" s="39"/>
      <c r="AT581" s="39"/>
      <c r="AU581" s="39"/>
      <c r="AV581" s="39"/>
      <c r="AW581" s="39"/>
      <c r="AX581" s="39"/>
      <c r="AY581" s="39"/>
      <c r="AZ581" s="39"/>
      <c r="BA581" s="39"/>
      <c r="BB581" s="39"/>
      <c r="BC581" s="39"/>
      <c r="BD581" s="39"/>
      <c r="BE581" s="39"/>
      <c r="BF581" s="39"/>
      <c r="BG581" s="39"/>
      <c r="BH581" s="39"/>
      <c r="BI581" s="39"/>
      <c r="BJ581" s="39"/>
      <c r="BK581" s="39"/>
      <c r="BL581" s="39"/>
      <c r="BM581" s="39"/>
    </row>
    <row r="582" spans="1:65" x14ac:dyDescent="0.15">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c r="AM582" s="39"/>
      <c r="AN582" s="39"/>
      <c r="AO582" s="39"/>
      <c r="AP582" s="39"/>
      <c r="AQ582" s="39"/>
      <c r="AR582" s="39"/>
      <c r="AS582" s="39"/>
      <c r="AT582" s="39"/>
      <c r="AU582" s="39"/>
      <c r="AV582" s="39"/>
      <c r="AW582" s="39"/>
      <c r="AX582" s="39"/>
      <c r="AY582" s="39"/>
      <c r="AZ582" s="39"/>
      <c r="BA582" s="39"/>
      <c r="BB582" s="39"/>
      <c r="BC582" s="39"/>
      <c r="BD582" s="39"/>
      <c r="BE582" s="39"/>
      <c r="BF582" s="39"/>
      <c r="BG582" s="39"/>
      <c r="BH582" s="39"/>
      <c r="BI582" s="39"/>
      <c r="BJ582" s="39"/>
      <c r="BK582" s="39"/>
      <c r="BL582" s="39"/>
      <c r="BM582" s="39"/>
    </row>
    <row r="583" spans="1:65" x14ac:dyDescent="0.15">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c r="AM583" s="39"/>
      <c r="AN583" s="39"/>
      <c r="AO583" s="39"/>
      <c r="AP583" s="39"/>
      <c r="AQ583" s="39"/>
      <c r="AR583" s="39"/>
      <c r="AS583" s="39"/>
      <c r="AT583" s="39"/>
      <c r="AU583" s="39"/>
      <c r="AV583" s="39"/>
      <c r="AW583" s="39"/>
      <c r="AX583" s="39"/>
      <c r="AY583" s="39"/>
      <c r="AZ583" s="39"/>
      <c r="BA583" s="39"/>
      <c r="BB583" s="39"/>
      <c r="BC583" s="39"/>
      <c r="BD583" s="39"/>
      <c r="BE583" s="39"/>
      <c r="BF583" s="39"/>
      <c r="BG583" s="39"/>
      <c r="BH583" s="39"/>
      <c r="BI583" s="39"/>
      <c r="BJ583" s="39"/>
      <c r="BK583" s="39"/>
      <c r="BL583" s="39"/>
      <c r="BM583" s="39"/>
    </row>
    <row r="584" spans="1:65" x14ac:dyDescent="0.15">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c r="AM584" s="39"/>
      <c r="AN584" s="39"/>
      <c r="AO584" s="39"/>
      <c r="AP584" s="39"/>
      <c r="AQ584" s="39"/>
      <c r="AR584" s="39"/>
      <c r="AS584" s="39"/>
      <c r="AT584" s="39"/>
      <c r="AU584" s="39"/>
      <c r="AV584" s="39"/>
      <c r="AW584" s="39"/>
      <c r="AX584" s="39"/>
      <c r="AY584" s="39"/>
      <c r="AZ584" s="39"/>
      <c r="BA584" s="39"/>
      <c r="BB584" s="39"/>
      <c r="BC584" s="39"/>
      <c r="BD584" s="39"/>
      <c r="BE584" s="39"/>
      <c r="BF584" s="39"/>
      <c r="BG584" s="39"/>
      <c r="BH584" s="39"/>
      <c r="BI584" s="39"/>
      <c r="BJ584" s="39"/>
      <c r="BK584" s="39"/>
      <c r="BL584" s="39"/>
      <c r="BM584" s="39"/>
    </row>
    <row r="585" spans="1:65" x14ac:dyDescent="0.1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c r="AM585" s="39"/>
      <c r="AN585" s="39"/>
      <c r="AO585" s="39"/>
      <c r="AP585" s="39"/>
      <c r="AQ585" s="39"/>
      <c r="AR585" s="39"/>
      <c r="AS585" s="39"/>
      <c r="AT585" s="39"/>
      <c r="AU585" s="39"/>
      <c r="AV585" s="39"/>
      <c r="AW585" s="39"/>
      <c r="AX585" s="39"/>
      <c r="AY585" s="39"/>
      <c r="AZ585" s="39"/>
      <c r="BA585" s="39"/>
      <c r="BB585" s="39"/>
      <c r="BC585" s="39"/>
      <c r="BD585" s="39"/>
      <c r="BE585" s="39"/>
      <c r="BF585" s="39"/>
      <c r="BG585" s="39"/>
      <c r="BH585" s="39"/>
      <c r="BI585" s="39"/>
      <c r="BJ585" s="39"/>
      <c r="BK585" s="39"/>
      <c r="BL585" s="39"/>
      <c r="BM585" s="39"/>
    </row>
    <row r="586" spans="1:65" x14ac:dyDescent="0.15">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c r="AM586" s="39"/>
      <c r="AN586" s="39"/>
      <c r="AO586" s="39"/>
      <c r="AP586" s="39"/>
      <c r="AQ586" s="39"/>
      <c r="AR586" s="39"/>
      <c r="AS586" s="39"/>
      <c r="AT586" s="39"/>
      <c r="AU586" s="39"/>
      <c r="AV586" s="39"/>
      <c r="AW586" s="39"/>
      <c r="AX586" s="39"/>
      <c r="AY586" s="39"/>
      <c r="AZ586" s="39"/>
      <c r="BA586" s="39"/>
      <c r="BB586" s="39"/>
      <c r="BC586" s="39"/>
      <c r="BD586" s="39"/>
      <c r="BE586" s="39"/>
      <c r="BF586" s="39"/>
      <c r="BG586" s="39"/>
      <c r="BH586" s="39"/>
      <c r="BI586" s="39"/>
      <c r="BJ586" s="39"/>
      <c r="BK586" s="39"/>
      <c r="BL586" s="39"/>
      <c r="BM586" s="39"/>
    </row>
    <row r="587" spans="1:65" x14ac:dyDescent="0.15">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c r="AP587" s="39"/>
      <c r="AQ587" s="39"/>
      <c r="AR587" s="39"/>
      <c r="AS587" s="39"/>
      <c r="AT587" s="39"/>
      <c r="AU587" s="39"/>
      <c r="AV587" s="39"/>
      <c r="AW587" s="39"/>
      <c r="AX587" s="39"/>
      <c r="AY587" s="39"/>
      <c r="AZ587" s="39"/>
      <c r="BA587" s="39"/>
      <c r="BB587" s="39"/>
      <c r="BC587" s="39"/>
      <c r="BD587" s="39"/>
      <c r="BE587" s="39"/>
      <c r="BF587" s="39"/>
      <c r="BG587" s="39"/>
      <c r="BH587" s="39"/>
      <c r="BI587" s="39"/>
      <c r="BJ587" s="39"/>
      <c r="BK587" s="39"/>
      <c r="BL587" s="39"/>
      <c r="BM587" s="39"/>
    </row>
    <row r="588" spans="1:65" x14ac:dyDescent="0.15">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c r="AM588" s="39"/>
      <c r="AN588" s="39"/>
      <c r="AO588" s="39"/>
      <c r="AP588" s="39"/>
      <c r="AQ588" s="39"/>
      <c r="AR588" s="39"/>
      <c r="AS588" s="39"/>
      <c r="AT588" s="39"/>
      <c r="AU588" s="39"/>
      <c r="AV588" s="39"/>
      <c r="AW588" s="39"/>
      <c r="AX588" s="39"/>
      <c r="AY588" s="39"/>
      <c r="AZ588" s="39"/>
      <c r="BA588" s="39"/>
      <c r="BB588" s="39"/>
      <c r="BC588" s="39"/>
      <c r="BD588" s="39"/>
      <c r="BE588" s="39"/>
      <c r="BF588" s="39"/>
      <c r="BG588" s="39"/>
      <c r="BH588" s="39"/>
      <c r="BI588" s="39"/>
      <c r="BJ588" s="39"/>
      <c r="BK588" s="39"/>
      <c r="BL588" s="39"/>
      <c r="BM588" s="39"/>
    </row>
    <row r="589" spans="1:65" x14ac:dyDescent="0.15">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c r="AM589" s="39"/>
      <c r="AN589" s="39"/>
      <c r="AO589" s="39"/>
      <c r="AP589" s="39"/>
      <c r="AQ589" s="39"/>
      <c r="AR589" s="39"/>
      <c r="AS589" s="39"/>
      <c r="AT589" s="39"/>
      <c r="AU589" s="39"/>
      <c r="AV589" s="39"/>
      <c r="AW589" s="39"/>
      <c r="AX589" s="39"/>
      <c r="AY589" s="39"/>
      <c r="AZ589" s="39"/>
      <c r="BA589" s="39"/>
      <c r="BB589" s="39"/>
      <c r="BC589" s="39"/>
      <c r="BD589" s="39"/>
      <c r="BE589" s="39"/>
      <c r="BF589" s="39"/>
      <c r="BG589" s="39"/>
      <c r="BH589" s="39"/>
      <c r="BI589" s="39"/>
      <c r="BJ589" s="39"/>
      <c r="BK589" s="39"/>
      <c r="BL589" s="39"/>
      <c r="BM589" s="39"/>
    </row>
    <row r="590" spans="1:65" x14ac:dyDescent="0.15">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c r="AM590" s="39"/>
      <c r="AN590" s="39"/>
      <c r="AO590" s="39"/>
      <c r="AP590" s="39"/>
      <c r="AQ590" s="39"/>
      <c r="AR590" s="39"/>
      <c r="AS590" s="39"/>
      <c r="AT590" s="39"/>
      <c r="AU590" s="39"/>
      <c r="AV590" s="39"/>
      <c r="AW590" s="39"/>
      <c r="AX590" s="39"/>
      <c r="AY590" s="39"/>
      <c r="AZ590" s="39"/>
      <c r="BA590" s="39"/>
      <c r="BB590" s="39"/>
      <c r="BC590" s="39"/>
      <c r="BD590" s="39"/>
      <c r="BE590" s="39"/>
      <c r="BF590" s="39"/>
      <c r="BG590" s="39"/>
      <c r="BH590" s="39"/>
      <c r="BI590" s="39"/>
      <c r="BJ590" s="39"/>
      <c r="BK590" s="39"/>
      <c r="BL590" s="39"/>
      <c r="BM590" s="39"/>
    </row>
    <row r="591" spans="1:65" x14ac:dyDescent="0.15">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B591" s="39"/>
      <c r="BC591" s="39"/>
      <c r="BD591" s="39"/>
      <c r="BE591" s="39"/>
      <c r="BF591" s="39"/>
      <c r="BG591" s="39"/>
      <c r="BH591" s="39"/>
      <c r="BI591" s="39"/>
      <c r="BJ591" s="39"/>
      <c r="BK591" s="39"/>
      <c r="BL591" s="39"/>
      <c r="BM591" s="39"/>
    </row>
    <row r="592" spans="1:65" x14ac:dyDescent="0.15">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c r="AM592" s="39"/>
      <c r="AN592" s="39"/>
      <c r="AO592" s="39"/>
      <c r="AP592" s="39"/>
      <c r="AQ592" s="39"/>
      <c r="AR592" s="39"/>
      <c r="AS592" s="39"/>
      <c r="AT592" s="39"/>
      <c r="AU592" s="39"/>
      <c r="AV592" s="39"/>
      <c r="AW592" s="39"/>
      <c r="AX592" s="39"/>
      <c r="AY592" s="39"/>
      <c r="AZ592" s="39"/>
      <c r="BA592" s="39"/>
      <c r="BB592" s="39"/>
      <c r="BC592" s="39"/>
      <c r="BD592" s="39"/>
      <c r="BE592" s="39"/>
      <c r="BF592" s="39"/>
      <c r="BG592" s="39"/>
      <c r="BH592" s="39"/>
      <c r="BI592" s="39"/>
      <c r="BJ592" s="39"/>
      <c r="BK592" s="39"/>
      <c r="BL592" s="39"/>
      <c r="BM592" s="39"/>
    </row>
    <row r="593" spans="1:65" x14ac:dyDescent="0.15">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c r="AM593" s="39"/>
      <c r="AN593" s="39"/>
      <c r="AO593" s="39"/>
      <c r="AP593" s="39"/>
      <c r="AQ593" s="39"/>
      <c r="AR593" s="39"/>
      <c r="AS593" s="39"/>
      <c r="AT593" s="39"/>
      <c r="AU593" s="39"/>
      <c r="AV593" s="39"/>
      <c r="AW593" s="39"/>
      <c r="AX593" s="39"/>
      <c r="AY593" s="39"/>
      <c r="AZ593" s="39"/>
      <c r="BA593" s="39"/>
      <c r="BB593" s="39"/>
      <c r="BC593" s="39"/>
      <c r="BD593" s="39"/>
      <c r="BE593" s="39"/>
      <c r="BF593" s="39"/>
      <c r="BG593" s="39"/>
      <c r="BH593" s="39"/>
      <c r="BI593" s="39"/>
      <c r="BJ593" s="39"/>
      <c r="BK593" s="39"/>
      <c r="BL593" s="39"/>
      <c r="BM593" s="39"/>
    </row>
    <row r="594" spans="1:65" x14ac:dyDescent="0.15">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c r="AM594" s="39"/>
      <c r="AN594" s="39"/>
      <c r="AO594" s="39"/>
      <c r="AP594" s="39"/>
      <c r="AQ594" s="39"/>
      <c r="AR594" s="39"/>
      <c r="AS594" s="39"/>
      <c r="AT594" s="39"/>
      <c r="AU594" s="39"/>
      <c r="AV594" s="39"/>
      <c r="AW594" s="39"/>
      <c r="AX594" s="39"/>
      <c r="AY594" s="39"/>
      <c r="AZ594" s="39"/>
      <c r="BA594" s="39"/>
      <c r="BB594" s="39"/>
      <c r="BC594" s="39"/>
      <c r="BD594" s="39"/>
      <c r="BE594" s="39"/>
      <c r="BF594" s="39"/>
      <c r="BG594" s="39"/>
      <c r="BH594" s="39"/>
      <c r="BI594" s="39"/>
      <c r="BJ594" s="39"/>
      <c r="BK594" s="39"/>
      <c r="BL594" s="39"/>
      <c r="BM594" s="39"/>
    </row>
    <row r="595" spans="1:65" x14ac:dyDescent="0.1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c r="AP595" s="39"/>
      <c r="AQ595" s="39"/>
      <c r="AR595" s="39"/>
      <c r="AS595" s="39"/>
      <c r="AT595" s="39"/>
      <c r="AU595" s="39"/>
      <c r="AV595" s="39"/>
      <c r="AW595" s="39"/>
      <c r="AX595" s="39"/>
      <c r="AY595" s="39"/>
      <c r="AZ595" s="39"/>
      <c r="BA595" s="39"/>
      <c r="BB595" s="39"/>
      <c r="BC595" s="39"/>
      <c r="BD595" s="39"/>
      <c r="BE595" s="39"/>
      <c r="BF595" s="39"/>
      <c r="BG595" s="39"/>
      <c r="BH595" s="39"/>
      <c r="BI595" s="39"/>
      <c r="BJ595" s="39"/>
      <c r="BK595" s="39"/>
      <c r="BL595" s="39"/>
      <c r="BM595" s="39"/>
    </row>
    <row r="596" spans="1:65" x14ac:dyDescent="0.15">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B596" s="39"/>
      <c r="BC596" s="39"/>
      <c r="BD596" s="39"/>
      <c r="BE596" s="39"/>
      <c r="BF596" s="39"/>
      <c r="BG596" s="39"/>
      <c r="BH596" s="39"/>
      <c r="BI596" s="39"/>
      <c r="BJ596" s="39"/>
      <c r="BK596" s="39"/>
      <c r="BL596" s="39"/>
      <c r="BM596" s="39"/>
    </row>
    <row r="597" spans="1:65" x14ac:dyDescent="0.15">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c r="AM597" s="39"/>
      <c r="AN597" s="39"/>
      <c r="AO597" s="39"/>
      <c r="AP597" s="39"/>
      <c r="AQ597" s="39"/>
      <c r="AR597" s="39"/>
      <c r="AS597" s="39"/>
      <c r="AT597" s="39"/>
      <c r="AU597" s="39"/>
      <c r="AV597" s="39"/>
      <c r="AW597" s="39"/>
      <c r="AX597" s="39"/>
      <c r="AY597" s="39"/>
      <c r="AZ597" s="39"/>
      <c r="BA597" s="39"/>
      <c r="BB597" s="39"/>
      <c r="BC597" s="39"/>
      <c r="BD597" s="39"/>
      <c r="BE597" s="39"/>
      <c r="BF597" s="39"/>
      <c r="BG597" s="39"/>
      <c r="BH597" s="39"/>
      <c r="BI597" s="39"/>
      <c r="BJ597" s="39"/>
      <c r="BK597" s="39"/>
      <c r="BL597" s="39"/>
      <c r="BM597" s="39"/>
    </row>
    <row r="598" spans="1:65" x14ac:dyDescent="0.15">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c r="AM598" s="39"/>
      <c r="AN598" s="39"/>
      <c r="AO598" s="39"/>
      <c r="AP598" s="39"/>
      <c r="AQ598" s="39"/>
      <c r="AR598" s="39"/>
      <c r="AS598" s="39"/>
      <c r="AT598" s="39"/>
      <c r="AU598" s="39"/>
      <c r="AV598" s="39"/>
      <c r="AW598" s="39"/>
      <c r="AX598" s="39"/>
      <c r="AY598" s="39"/>
      <c r="AZ598" s="39"/>
      <c r="BA598" s="39"/>
      <c r="BB598" s="39"/>
      <c r="BC598" s="39"/>
      <c r="BD598" s="39"/>
      <c r="BE598" s="39"/>
      <c r="BF598" s="39"/>
      <c r="BG598" s="39"/>
      <c r="BH598" s="39"/>
      <c r="BI598" s="39"/>
      <c r="BJ598" s="39"/>
      <c r="BK598" s="39"/>
      <c r="BL598" s="39"/>
      <c r="BM598" s="39"/>
    </row>
    <row r="599" spans="1:65" x14ac:dyDescent="0.15">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c r="AM599" s="39"/>
      <c r="AN599" s="39"/>
      <c r="AO599" s="39"/>
      <c r="AP599" s="39"/>
      <c r="AQ599" s="39"/>
      <c r="AR599" s="39"/>
      <c r="AS599" s="39"/>
      <c r="AT599" s="39"/>
      <c r="AU599" s="39"/>
      <c r="AV599" s="39"/>
      <c r="AW599" s="39"/>
      <c r="AX599" s="39"/>
      <c r="AY599" s="39"/>
      <c r="AZ599" s="39"/>
      <c r="BA599" s="39"/>
      <c r="BB599" s="39"/>
      <c r="BC599" s="39"/>
      <c r="BD599" s="39"/>
      <c r="BE599" s="39"/>
      <c r="BF599" s="39"/>
      <c r="BG599" s="39"/>
      <c r="BH599" s="39"/>
      <c r="BI599" s="39"/>
      <c r="BJ599" s="39"/>
      <c r="BK599" s="39"/>
      <c r="BL599" s="39"/>
      <c r="BM599" s="39"/>
    </row>
    <row r="600" spans="1:65" x14ac:dyDescent="0.15">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c r="AM600" s="39"/>
      <c r="AN600" s="39"/>
      <c r="AO600" s="39"/>
      <c r="AP600" s="39"/>
      <c r="AQ600" s="39"/>
      <c r="AR600" s="39"/>
      <c r="AS600" s="39"/>
      <c r="AT600" s="39"/>
      <c r="AU600" s="39"/>
      <c r="AV600" s="39"/>
      <c r="AW600" s="39"/>
      <c r="AX600" s="39"/>
      <c r="AY600" s="39"/>
      <c r="AZ600" s="39"/>
      <c r="BA600" s="39"/>
      <c r="BB600" s="39"/>
      <c r="BC600" s="39"/>
      <c r="BD600" s="39"/>
      <c r="BE600" s="39"/>
      <c r="BF600" s="39"/>
      <c r="BG600" s="39"/>
      <c r="BH600" s="39"/>
      <c r="BI600" s="39"/>
      <c r="BJ600" s="39"/>
      <c r="BK600" s="39"/>
      <c r="BL600" s="39"/>
      <c r="BM600" s="39"/>
    </row>
    <row r="601" spans="1:65" x14ac:dyDescent="0.15">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c r="AM601" s="39"/>
      <c r="AN601" s="39"/>
      <c r="AO601" s="39"/>
      <c r="AP601" s="39"/>
      <c r="AQ601" s="39"/>
      <c r="AR601" s="39"/>
      <c r="AS601" s="39"/>
      <c r="AT601" s="39"/>
      <c r="AU601" s="39"/>
      <c r="AV601" s="39"/>
      <c r="AW601" s="39"/>
      <c r="AX601" s="39"/>
      <c r="AY601" s="39"/>
      <c r="AZ601" s="39"/>
      <c r="BA601" s="39"/>
      <c r="BB601" s="39"/>
      <c r="BC601" s="39"/>
      <c r="BD601" s="39"/>
      <c r="BE601" s="39"/>
      <c r="BF601" s="39"/>
      <c r="BG601" s="39"/>
      <c r="BH601" s="39"/>
      <c r="BI601" s="39"/>
      <c r="BJ601" s="39"/>
      <c r="BK601" s="39"/>
      <c r="BL601" s="39"/>
      <c r="BM601" s="39"/>
    </row>
    <row r="602" spans="1:65" x14ac:dyDescent="0.15">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c r="AM602" s="39"/>
      <c r="AN602" s="39"/>
      <c r="AO602" s="39"/>
      <c r="AP602" s="39"/>
      <c r="AQ602" s="39"/>
      <c r="AR602" s="39"/>
      <c r="AS602" s="39"/>
      <c r="AT602" s="39"/>
      <c r="AU602" s="39"/>
      <c r="AV602" s="39"/>
      <c r="AW602" s="39"/>
      <c r="AX602" s="39"/>
      <c r="AY602" s="39"/>
      <c r="AZ602" s="39"/>
      <c r="BA602" s="39"/>
      <c r="BB602" s="39"/>
      <c r="BC602" s="39"/>
      <c r="BD602" s="39"/>
      <c r="BE602" s="39"/>
      <c r="BF602" s="39"/>
      <c r="BG602" s="39"/>
      <c r="BH602" s="39"/>
      <c r="BI602" s="39"/>
      <c r="BJ602" s="39"/>
      <c r="BK602" s="39"/>
      <c r="BL602" s="39"/>
      <c r="BM602" s="39"/>
    </row>
    <row r="603" spans="1:65" x14ac:dyDescent="0.15">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c r="AM603" s="39"/>
      <c r="AN603" s="39"/>
      <c r="AO603" s="39"/>
      <c r="AP603" s="39"/>
      <c r="AQ603" s="39"/>
      <c r="AR603" s="39"/>
      <c r="AS603" s="39"/>
      <c r="AT603" s="39"/>
      <c r="AU603" s="39"/>
      <c r="AV603" s="39"/>
      <c r="AW603" s="39"/>
      <c r="AX603" s="39"/>
      <c r="AY603" s="39"/>
      <c r="AZ603" s="39"/>
      <c r="BA603" s="39"/>
      <c r="BB603" s="39"/>
      <c r="BC603" s="39"/>
      <c r="BD603" s="39"/>
      <c r="BE603" s="39"/>
      <c r="BF603" s="39"/>
      <c r="BG603" s="39"/>
      <c r="BH603" s="39"/>
      <c r="BI603" s="39"/>
      <c r="BJ603" s="39"/>
      <c r="BK603" s="39"/>
      <c r="BL603" s="39"/>
      <c r="BM603" s="39"/>
    </row>
    <row r="604" spans="1:65" x14ac:dyDescent="0.15">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c r="AM604" s="39"/>
      <c r="AN604" s="39"/>
      <c r="AO604" s="39"/>
      <c r="AP604" s="39"/>
      <c r="AQ604" s="39"/>
      <c r="AR604" s="39"/>
      <c r="AS604" s="39"/>
      <c r="AT604" s="39"/>
      <c r="AU604" s="39"/>
      <c r="AV604" s="39"/>
      <c r="AW604" s="39"/>
      <c r="AX604" s="39"/>
      <c r="AY604" s="39"/>
      <c r="AZ604" s="39"/>
      <c r="BA604" s="39"/>
      <c r="BB604" s="39"/>
      <c r="BC604" s="39"/>
      <c r="BD604" s="39"/>
      <c r="BE604" s="39"/>
      <c r="BF604" s="39"/>
      <c r="BG604" s="39"/>
      <c r="BH604" s="39"/>
      <c r="BI604" s="39"/>
      <c r="BJ604" s="39"/>
      <c r="BK604" s="39"/>
      <c r="BL604" s="39"/>
      <c r="BM604" s="39"/>
    </row>
    <row r="605" spans="1:65" x14ac:dyDescent="0.1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c r="AM605" s="39"/>
      <c r="AN605" s="39"/>
      <c r="AO605" s="39"/>
      <c r="AP605" s="39"/>
      <c r="AQ605" s="39"/>
      <c r="AR605" s="39"/>
      <c r="AS605" s="39"/>
      <c r="AT605" s="39"/>
      <c r="AU605" s="39"/>
      <c r="AV605" s="39"/>
      <c r="AW605" s="39"/>
      <c r="AX605" s="39"/>
      <c r="AY605" s="39"/>
      <c r="AZ605" s="39"/>
      <c r="BA605" s="39"/>
      <c r="BB605" s="39"/>
      <c r="BC605" s="39"/>
      <c r="BD605" s="39"/>
      <c r="BE605" s="39"/>
      <c r="BF605" s="39"/>
      <c r="BG605" s="39"/>
      <c r="BH605" s="39"/>
      <c r="BI605" s="39"/>
      <c r="BJ605" s="39"/>
      <c r="BK605" s="39"/>
      <c r="BL605" s="39"/>
      <c r="BM605" s="39"/>
    </row>
    <row r="606" spans="1:65" x14ac:dyDescent="0.15">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c r="AP606" s="39"/>
      <c r="AQ606" s="39"/>
      <c r="AR606" s="39"/>
      <c r="AS606" s="39"/>
      <c r="AT606" s="39"/>
      <c r="AU606" s="39"/>
      <c r="AV606" s="39"/>
      <c r="AW606" s="39"/>
      <c r="AX606" s="39"/>
      <c r="AY606" s="39"/>
      <c r="AZ606" s="39"/>
      <c r="BA606" s="39"/>
      <c r="BB606" s="39"/>
      <c r="BC606" s="39"/>
      <c r="BD606" s="39"/>
      <c r="BE606" s="39"/>
      <c r="BF606" s="39"/>
      <c r="BG606" s="39"/>
      <c r="BH606" s="39"/>
      <c r="BI606" s="39"/>
      <c r="BJ606" s="39"/>
      <c r="BK606" s="39"/>
      <c r="BL606" s="39"/>
      <c r="BM606" s="39"/>
    </row>
    <row r="607" spans="1:65" x14ac:dyDescent="0.15">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c r="AM607" s="39"/>
      <c r="AN607" s="39"/>
      <c r="AO607" s="39"/>
      <c r="AP607" s="39"/>
      <c r="AQ607" s="39"/>
      <c r="AR607" s="39"/>
      <c r="AS607" s="39"/>
      <c r="AT607" s="39"/>
      <c r="AU607" s="39"/>
      <c r="AV607" s="39"/>
      <c r="AW607" s="39"/>
      <c r="AX607" s="39"/>
      <c r="AY607" s="39"/>
      <c r="AZ607" s="39"/>
      <c r="BA607" s="39"/>
      <c r="BB607" s="39"/>
      <c r="BC607" s="39"/>
      <c r="BD607" s="39"/>
      <c r="BE607" s="39"/>
      <c r="BF607" s="39"/>
      <c r="BG607" s="39"/>
      <c r="BH607" s="39"/>
      <c r="BI607" s="39"/>
      <c r="BJ607" s="39"/>
      <c r="BK607" s="39"/>
      <c r="BL607" s="39"/>
      <c r="BM607" s="39"/>
    </row>
    <row r="608" spans="1:65" x14ac:dyDescent="0.15">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c r="AM608" s="39"/>
      <c r="AN608" s="39"/>
      <c r="AO608" s="39"/>
      <c r="AP608" s="39"/>
      <c r="AQ608" s="39"/>
      <c r="AR608" s="39"/>
      <c r="AS608" s="39"/>
      <c r="AT608" s="39"/>
      <c r="AU608" s="39"/>
      <c r="AV608" s="39"/>
      <c r="AW608" s="39"/>
      <c r="AX608" s="39"/>
      <c r="AY608" s="39"/>
      <c r="AZ608" s="39"/>
      <c r="BA608" s="39"/>
      <c r="BB608" s="39"/>
      <c r="BC608" s="39"/>
      <c r="BD608" s="39"/>
      <c r="BE608" s="39"/>
      <c r="BF608" s="39"/>
      <c r="BG608" s="39"/>
      <c r="BH608" s="39"/>
      <c r="BI608" s="39"/>
      <c r="BJ608" s="39"/>
      <c r="BK608" s="39"/>
      <c r="BL608" s="39"/>
      <c r="BM608" s="39"/>
    </row>
    <row r="609" spans="1:65" x14ac:dyDescent="0.15">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B609" s="39"/>
      <c r="BC609" s="39"/>
      <c r="BD609" s="39"/>
      <c r="BE609" s="39"/>
      <c r="BF609" s="39"/>
      <c r="BG609" s="39"/>
      <c r="BH609" s="39"/>
      <c r="BI609" s="39"/>
      <c r="BJ609" s="39"/>
      <c r="BK609" s="39"/>
      <c r="BL609" s="39"/>
      <c r="BM609" s="39"/>
    </row>
    <row r="610" spans="1:65" x14ac:dyDescent="0.15">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c r="AM610" s="39"/>
      <c r="AN610" s="39"/>
      <c r="AO610" s="39"/>
      <c r="AP610" s="39"/>
      <c r="AQ610" s="39"/>
      <c r="AR610" s="39"/>
      <c r="AS610" s="39"/>
      <c r="AT610" s="39"/>
      <c r="AU610" s="39"/>
      <c r="AV610" s="39"/>
      <c r="AW610" s="39"/>
      <c r="AX610" s="39"/>
      <c r="AY610" s="39"/>
      <c r="AZ610" s="39"/>
      <c r="BA610" s="39"/>
      <c r="BB610" s="39"/>
      <c r="BC610" s="39"/>
      <c r="BD610" s="39"/>
      <c r="BE610" s="39"/>
      <c r="BF610" s="39"/>
      <c r="BG610" s="39"/>
      <c r="BH610" s="39"/>
      <c r="BI610" s="39"/>
      <c r="BJ610" s="39"/>
      <c r="BK610" s="39"/>
      <c r="BL610" s="39"/>
      <c r="BM610" s="39"/>
    </row>
    <row r="611" spans="1:65" x14ac:dyDescent="0.15">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c r="AP611" s="39"/>
      <c r="AQ611" s="39"/>
      <c r="AR611" s="39"/>
      <c r="AS611" s="39"/>
      <c r="AT611" s="39"/>
      <c r="AU611" s="39"/>
      <c r="AV611" s="39"/>
      <c r="AW611" s="39"/>
      <c r="AX611" s="39"/>
      <c r="AY611" s="39"/>
      <c r="AZ611" s="39"/>
      <c r="BA611" s="39"/>
      <c r="BB611" s="39"/>
      <c r="BC611" s="39"/>
      <c r="BD611" s="39"/>
      <c r="BE611" s="39"/>
      <c r="BF611" s="39"/>
      <c r="BG611" s="39"/>
      <c r="BH611" s="39"/>
      <c r="BI611" s="39"/>
      <c r="BJ611" s="39"/>
      <c r="BK611" s="39"/>
      <c r="BL611" s="39"/>
      <c r="BM611" s="39"/>
    </row>
    <row r="612" spans="1:65" x14ac:dyDescent="0.15">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c r="AM612" s="39"/>
      <c r="AN612" s="39"/>
      <c r="AO612" s="39"/>
      <c r="AP612" s="39"/>
      <c r="AQ612" s="39"/>
      <c r="AR612" s="39"/>
      <c r="AS612" s="39"/>
      <c r="AT612" s="39"/>
      <c r="AU612" s="39"/>
      <c r="AV612" s="39"/>
      <c r="AW612" s="39"/>
      <c r="AX612" s="39"/>
      <c r="AY612" s="39"/>
      <c r="AZ612" s="39"/>
      <c r="BA612" s="39"/>
      <c r="BB612" s="39"/>
      <c r="BC612" s="39"/>
      <c r="BD612" s="39"/>
      <c r="BE612" s="39"/>
      <c r="BF612" s="39"/>
      <c r="BG612" s="39"/>
      <c r="BH612" s="39"/>
      <c r="BI612" s="39"/>
      <c r="BJ612" s="39"/>
      <c r="BK612" s="39"/>
      <c r="BL612" s="39"/>
      <c r="BM612" s="39"/>
    </row>
    <row r="613" spans="1:65" x14ac:dyDescent="0.15">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c r="AM613" s="39"/>
      <c r="AN613" s="39"/>
      <c r="AO613" s="39"/>
      <c r="AP613" s="39"/>
      <c r="AQ613" s="39"/>
      <c r="AR613" s="39"/>
      <c r="AS613" s="39"/>
      <c r="AT613" s="39"/>
      <c r="AU613" s="39"/>
      <c r="AV613" s="39"/>
      <c r="AW613" s="39"/>
      <c r="AX613" s="39"/>
      <c r="AY613" s="39"/>
      <c r="AZ613" s="39"/>
      <c r="BA613" s="39"/>
      <c r="BB613" s="39"/>
      <c r="BC613" s="39"/>
      <c r="BD613" s="39"/>
      <c r="BE613" s="39"/>
      <c r="BF613" s="39"/>
      <c r="BG613" s="39"/>
      <c r="BH613" s="39"/>
      <c r="BI613" s="39"/>
      <c r="BJ613" s="39"/>
      <c r="BK613" s="39"/>
      <c r="BL613" s="39"/>
      <c r="BM613" s="39"/>
    </row>
    <row r="614" spans="1:65" x14ac:dyDescent="0.15">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c r="AM614" s="39"/>
      <c r="AN614" s="39"/>
      <c r="AO614" s="39"/>
      <c r="AP614" s="39"/>
      <c r="AQ614" s="39"/>
      <c r="AR614" s="39"/>
      <c r="AS614" s="39"/>
      <c r="AT614" s="39"/>
      <c r="AU614" s="39"/>
      <c r="AV614" s="39"/>
      <c r="AW614" s="39"/>
      <c r="AX614" s="39"/>
      <c r="AY614" s="39"/>
      <c r="AZ614" s="39"/>
      <c r="BA614" s="39"/>
      <c r="BB614" s="39"/>
      <c r="BC614" s="39"/>
      <c r="BD614" s="39"/>
      <c r="BE614" s="39"/>
      <c r="BF614" s="39"/>
      <c r="BG614" s="39"/>
      <c r="BH614" s="39"/>
      <c r="BI614" s="39"/>
      <c r="BJ614" s="39"/>
      <c r="BK614" s="39"/>
      <c r="BL614" s="39"/>
      <c r="BM614" s="39"/>
    </row>
    <row r="615" spans="1:65" x14ac:dyDescent="0.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c r="AM615" s="39"/>
      <c r="AN615" s="39"/>
      <c r="AO615" s="39"/>
      <c r="AP615" s="39"/>
      <c r="AQ615" s="39"/>
      <c r="AR615" s="39"/>
      <c r="AS615" s="39"/>
      <c r="AT615" s="39"/>
      <c r="AU615" s="39"/>
      <c r="AV615" s="39"/>
      <c r="AW615" s="39"/>
      <c r="AX615" s="39"/>
      <c r="AY615" s="39"/>
      <c r="AZ615" s="39"/>
      <c r="BA615" s="39"/>
      <c r="BB615" s="39"/>
      <c r="BC615" s="39"/>
      <c r="BD615" s="39"/>
      <c r="BE615" s="39"/>
      <c r="BF615" s="39"/>
      <c r="BG615" s="39"/>
      <c r="BH615" s="39"/>
      <c r="BI615" s="39"/>
      <c r="BJ615" s="39"/>
      <c r="BK615" s="39"/>
      <c r="BL615" s="39"/>
      <c r="BM615" s="39"/>
    </row>
    <row r="616" spans="1:65" x14ac:dyDescent="0.15">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c r="AM616" s="39"/>
      <c r="AN616" s="39"/>
      <c r="AO616" s="39"/>
      <c r="AP616" s="39"/>
      <c r="AQ616" s="39"/>
      <c r="AR616" s="39"/>
      <c r="AS616" s="39"/>
      <c r="AT616" s="39"/>
      <c r="AU616" s="39"/>
      <c r="AV616" s="39"/>
      <c r="AW616" s="39"/>
      <c r="AX616" s="39"/>
      <c r="AY616" s="39"/>
      <c r="AZ616" s="39"/>
      <c r="BA616" s="39"/>
      <c r="BB616" s="39"/>
      <c r="BC616" s="39"/>
      <c r="BD616" s="39"/>
      <c r="BE616" s="39"/>
      <c r="BF616" s="39"/>
      <c r="BG616" s="39"/>
      <c r="BH616" s="39"/>
      <c r="BI616" s="39"/>
      <c r="BJ616" s="39"/>
      <c r="BK616" s="39"/>
      <c r="BL616" s="39"/>
      <c r="BM616" s="39"/>
    </row>
    <row r="617" spans="1:65" x14ac:dyDescent="0.15">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c r="AM617" s="39"/>
      <c r="AN617" s="39"/>
      <c r="AO617" s="39"/>
      <c r="AP617" s="39"/>
      <c r="AQ617" s="39"/>
      <c r="AR617" s="39"/>
      <c r="AS617" s="39"/>
      <c r="AT617" s="39"/>
      <c r="AU617" s="39"/>
      <c r="AV617" s="39"/>
      <c r="AW617" s="39"/>
      <c r="AX617" s="39"/>
      <c r="AY617" s="39"/>
      <c r="AZ617" s="39"/>
      <c r="BA617" s="39"/>
      <c r="BB617" s="39"/>
      <c r="BC617" s="39"/>
      <c r="BD617" s="39"/>
      <c r="BE617" s="39"/>
      <c r="BF617" s="39"/>
      <c r="BG617" s="39"/>
      <c r="BH617" s="39"/>
      <c r="BI617" s="39"/>
      <c r="BJ617" s="39"/>
      <c r="BK617" s="39"/>
      <c r="BL617" s="39"/>
      <c r="BM617" s="39"/>
    </row>
    <row r="618" spans="1:65" x14ac:dyDescent="0.15">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c r="AM618" s="39"/>
      <c r="AN618" s="39"/>
      <c r="AO618" s="39"/>
      <c r="AP618" s="39"/>
      <c r="AQ618" s="39"/>
      <c r="AR618" s="39"/>
      <c r="AS618" s="39"/>
      <c r="AT618" s="39"/>
      <c r="AU618" s="39"/>
      <c r="AV618" s="39"/>
      <c r="AW618" s="39"/>
      <c r="AX618" s="39"/>
      <c r="AY618" s="39"/>
      <c r="AZ618" s="39"/>
      <c r="BA618" s="39"/>
      <c r="BB618" s="39"/>
      <c r="BC618" s="39"/>
      <c r="BD618" s="39"/>
      <c r="BE618" s="39"/>
      <c r="BF618" s="39"/>
      <c r="BG618" s="39"/>
      <c r="BH618" s="39"/>
      <c r="BI618" s="39"/>
      <c r="BJ618" s="39"/>
      <c r="BK618" s="39"/>
      <c r="BL618" s="39"/>
      <c r="BM618" s="39"/>
    </row>
    <row r="619" spans="1:65" x14ac:dyDescent="0.15">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c r="AM619" s="39"/>
      <c r="AN619" s="39"/>
      <c r="AO619" s="39"/>
      <c r="AP619" s="39"/>
      <c r="AQ619" s="39"/>
      <c r="AR619" s="39"/>
      <c r="AS619" s="39"/>
      <c r="AT619" s="39"/>
      <c r="AU619" s="39"/>
      <c r="AV619" s="39"/>
      <c r="AW619" s="39"/>
      <c r="AX619" s="39"/>
      <c r="AY619" s="39"/>
      <c r="AZ619" s="39"/>
      <c r="BA619" s="39"/>
      <c r="BB619" s="39"/>
      <c r="BC619" s="39"/>
      <c r="BD619" s="39"/>
      <c r="BE619" s="39"/>
      <c r="BF619" s="39"/>
      <c r="BG619" s="39"/>
      <c r="BH619" s="39"/>
      <c r="BI619" s="39"/>
      <c r="BJ619" s="39"/>
      <c r="BK619" s="39"/>
      <c r="BL619" s="39"/>
      <c r="BM619" s="39"/>
    </row>
    <row r="620" spans="1:65" x14ac:dyDescent="0.15">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c r="AM620" s="39"/>
      <c r="AN620" s="39"/>
      <c r="AO620" s="39"/>
      <c r="AP620" s="39"/>
      <c r="AQ620" s="39"/>
      <c r="AR620" s="39"/>
      <c r="AS620" s="39"/>
      <c r="AT620" s="39"/>
      <c r="AU620" s="39"/>
      <c r="AV620" s="39"/>
      <c r="AW620" s="39"/>
      <c r="AX620" s="39"/>
      <c r="AY620" s="39"/>
      <c r="AZ620" s="39"/>
      <c r="BA620" s="39"/>
      <c r="BB620" s="39"/>
      <c r="BC620" s="39"/>
      <c r="BD620" s="39"/>
      <c r="BE620" s="39"/>
      <c r="BF620" s="39"/>
      <c r="BG620" s="39"/>
      <c r="BH620" s="39"/>
      <c r="BI620" s="39"/>
      <c r="BJ620" s="39"/>
      <c r="BK620" s="39"/>
      <c r="BL620" s="39"/>
      <c r="BM620" s="39"/>
    </row>
    <row r="621" spans="1:65" x14ac:dyDescent="0.15">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c r="AM621" s="39"/>
      <c r="AN621" s="39"/>
      <c r="AO621" s="39"/>
      <c r="AP621" s="39"/>
      <c r="AQ621" s="39"/>
      <c r="AR621" s="39"/>
      <c r="AS621" s="39"/>
      <c r="AT621" s="39"/>
      <c r="AU621" s="39"/>
      <c r="AV621" s="39"/>
      <c r="AW621" s="39"/>
      <c r="AX621" s="39"/>
      <c r="AY621" s="39"/>
      <c r="AZ621" s="39"/>
      <c r="BA621" s="39"/>
      <c r="BB621" s="39"/>
      <c r="BC621" s="39"/>
      <c r="BD621" s="39"/>
      <c r="BE621" s="39"/>
      <c r="BF621" s="39"/>
      <c r="BG621" s="39"/>
      <c r="BH621" s="39"/>
      <c r="BI621" s="39"/>
      <c r="BJ621" s="39"/>
      <c r="BK621" s="39"/>
      <c r="BL621" s="39"/>
      <c r="BM621" s="39"/>
    </row>
    <row r="622" spans="1:65" x14ac:dyDescent="0.15">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B622" s="39"/>
      <c r="BC622" s="39"/>
      <c r="BD622" s="39"/>
      <c r="BE622" s="39"/>
      <c r="BF622" s="39"/>
      <c r="BG622" s="39"/>
      <c r="BH622" s="39"/>
      <c r="BI622" s="39"/>
      <c r="BJ622" s="39"/>
      <c r="BK622" s="39"/>
      <c r="BL622" s="39"/>
      <c r="BM622" s="39"/>
    </row>
    <row r="623" spans="1:65" x14ac:dyDescent="0.15">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c r="AM623" s="39"/>
      <c r="AN623" s="39"/>
      <c r="AO623" s="39"/>
      <c r="AP623" s="39"/>
      <c r="AQ623" s="39"/>
      <c r="AR623" s="39"/>
      <c r="AS623" s="39"/>
      <c r="AT623" s="39"/>
      <c r="AU623" s="39"/>
      <c r="AV623" s="39"/>
      <c r="AW623" s="39"/>
      <c r="AX623" s="39"/>
      <c r="AY623" s="39"/>
      <c r="AZ623" s="39"/>
      <c r="BA623" s="39"/>
      <c r="BB623" s="39"/>
      <c r="BC623" s="39"/>
      <c r="BD623" s="39"/>
      <c r="BE623" s="39"/>
      <c r="BF623" s="39"/>
      <c r="BG623" s="39"/>
      <c r="BH623" s="39"/>
      <c r="BI623" s="39"/>
      <c r="BJ623" s="39"/>
      <c r="BK623" s="39"/>
      <c r="BL623" s="39"/>
      <c r="BM623" s="39"/>
    </row>
    <row r="624" spans="1:65" x14ac:dyDescent="0.15">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c r="AP624" s="39"/>
      <c r="AQ624" s="39"/>
      <c r="AR624" s="39"/>
      <c r="AS624" s="39"/>
      <c r="AT624" s="39"/>
      <c r="AU624" s="39"/>
      <c r="AV624" s="39"/>
      <c r="AW624" s="39"/>
      <c r="AX624" s="39"/>
      <c r="AY624" s="39"/>
      <c r="AZ624" s="39"/>
      <c r="BA624" s="39"/>
      <c r="BB624" s="39"/>
      <c r="BC624" s="39"/>
      <c r="BD624" s="39"/>
      <c r="BE624" s="39"/>
      <c r="BF624" s="39"/>
      <c r="BG624" s="39"/>
      <c r="BH624" s="39"/>
      <c r="BI624" s="39"/>
      <c r="BJ624" s="39"/>
      <c r="BK624" s="39"/>
      <c r="BL624" s="39"/>
      <c r="BM624" s="39"/>
    </row>
    <row r="625" spans="1:65" x14ac:dyDescent="0.1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c r="AM625" s="39"/>
      <c r="AN625" s="39"/>
      <c r="AO625" s="39"/>
      <c r="AP625" s="39"/>
      <c r="AQ625" s="39"/>
      <c r="AR625" s="39"/>
      <c r="AS625" s="39"/>
      <c r="AT625" s="39"/>
      <c r="AU625" s="39"/>
      <c r="AV625" s="39"/>
      <c r="AW625" s="39"/>
      <c r="AX625" s="39"/>
      <c r="AY625" s="39"/>
      <c r="AZ625" s="39"/>
      <c r="BA625" s="39"/>
      <c r="BB625" s="39"/>
      <c r="BC625" s="39"/>
      <c r="BD625" s="39"/>
      <c r="BE625" s="39"/>
      <c r="BF625" s="39"/>
      <c r="BG625" s="39"/>
      <c r="BH625" s="39"/>
      <c r="BI625" s="39"/>
      <c r="BJ625" s="39"/>
      <c r="BK625" s="39"/>
      <c r="BL625" s="39"/>
      <c r="BM625" s="39"/>
    </row>
    <row r="626" spans="1:65" x14ac:dyDescent="0.15">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c r="AM626" s="39"/>
      <c r="AN626" s="39"/>
      <c r="AO626" s="39"/>
      <c r="AP626" s="39"/>
      <c r="AQ626" s="39"/>
      <c r="AR626" s="39"/>
      <c r="AS626" s="39"/>
      <c r="AT626" s="39"/>
      <c r="AU626" s="39"/>
      <c r="AV626" s="39"/>
      <c r="AW626" s="39"/>
      <c r="AX626" s="39"/>
      <c r="AY626" s="39"/>
      <c r="AZ626" s="39"/>
      <c r="BA626" s="39"/>
      <c r="BB626" s="39"/>
      <c r="BC626" s="39"/>
      <c r="BD626" s="39"/>
      <c r="BE626" s="39"/>
      <c r="BF626" s="39"/>
      <c r="BG626" s="39"/>
      <c r="BH626" s="39"/>
      <c r="BI626" s="39"/>
      <c r="BJ626" s="39"/>
      <c r="BK626" s="39"/>
      <c r="BL626" s="39"/>
      <c r="BM626" s="39"/>
    </row>
    <row r="627" spans="1:65" x14ac:dyDescent="0.15">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B627" s="39"/>
      <c r="BC627" s="39"/>
      <c r="BD627" s="39"/>
      <c r="BE627" s="39"/>
      <c r="BF627" s="39"/>
      <c r="BG627" s="39"/>
      <c r="BH627" s="39"/>
      <c r="BI627" s="39"/>
      <c r="BJ627" s="39"/>
      <c r="BK627" s="39"/>
      <c r="BL627" s="39"/>
      <c r="BM627" s="39"/>
    </row>
    <row r="628" spans="1:65" x14ac:dyDescent="0.15">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c r="AM628" s="39"/>
      <c r="AN628" s="39"/>
      <c r="AO628" s="39"/>
      <c r="AP628" s="39"/>
      <c r="AQ628" s="39"/>
      <c r="AR628" s="39"/>
      <c r="AS628" s="39"/>
      <c r="AT628" s="39"/>
      <c r="AU628" s="39"/>
      <c r="AV628" s="39"/>
      <c r="AW628" s="39"/>
      <c r="AX628" s="39"/>
      <c r="AY628" s="39"/>
      <c r="AZ628" s="39"/>
      <c r="BA628" s="39"/>
      <c r="BB628" s="39"/>
      <c r="BC628" s="39"/>
      <c r="BD628" s="39"/>
      <c r="BE628" s="39"/>
      <c r="BF628" s="39"/>
      <c r="BG628" s="39"/>
      <c r="BH628" s="39"/>
      <c r="BI628" s="39"/>
      <c r="BJ628" s="39"/>
      <c r="BK628" s="39"/>
      <c r="BL628" s="39"/>
      <c r="BM628" s="39"/>
    </row>
    <row r="629" spans="1:65" x14ac:dyDescent="0.15">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c r="AM629" s="39"/>
      <c r="AN629" s="39"/>
      <c r="AO629" s="39"/>
      <c r="AP629" s="39"/>
      <c r="AQ629" s="39"/>
      <c r="AR629" s="39"/>
      <c r="AS629" s="39"/>
      <c r="AT629" s="39"/>
      <c r="AU629" s="39"/>
      <c r="AV629" s="39"/>
      <c r="AW629" s="39"/>
      <c r="AX629" s="39"/>
      <c r="AY629" s="39"/>
      <c r="AZ629" s="39"/>
      <c r="BA629" s="39"/>
      <c r="BB629" s="39"/>
      <c r="BC629" s="39"/>
      <c r="BD629" s="39"/>
      <c r="BE629" s="39"/>
      <c r="BF629" s="39"/>
      <c r="BG629" s="39"/>
      <c r="BH629" s="39"/>
      <c r="BI629" s="39"/>
      <c r="BJ629" s="39"/>
      <c r="BK629" s="39"/>
      <c r="BL629" s="39"/>
      <c r="BM629" s="39"/>
    </row>
    <row r="630" spans="1:65" x14ac:dyDescent="0.15">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c r="AM630" s="39"/>
      <c r="AN630" s="39"/>
      <c r="AO630" s="39"/>
      <c r="AP630" s="39"/>
      <c r="AQ630" s="39"/>
      <c r="AR630" s="39"/>
      <c r="AS630" s="39"/>
      <c r="AT630" s="39"/>
      <c r="AU630" s="39"/>
      <c r="AV630" s="39"/>
      <c r="AW630" s="39"/>
      <c r="AX630" s="39"/>
      <c r="AY630" s="39"/>
      <c r="AZ630" s="39"/>
      <c r="BA630" s="39"/>
      <c r="BB630" s="39"/>
      <c r="BC630" s="39"/>
      <c r="BD630" s="39"/>
      <c r="BE630" s="39"/>
      <c r="BF630" s="39"/>
      <c r="BG630" s="39"/>
      <c r="BH630" s="39"/>
      <c r="BI630" s="39"/>
      <c r="BJ630" s="39"/>
      <c r="BK630" s="39"/>
      <c r="BL630" s="39"/>
      <c r="BM630" s="39"/>
    </row>
    <row r="631" spans="1:65" x14ac:dyDescent="0.15">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c r="AM631" s="39"/>
      <c r="AN631" s="39"/>
      <c r="AO631" s="39"/>
      <c r="AP631" s="39"/>
      <c r="AQ631" s="39"/>
      <c r="AR631" s="39"/>
      <c r="AS631" s="39"/>
      <c r="AT631" s="39"/>
      <c r="AU631" s="39"/>
      <c r="AV631" s="39"/>
      <c r="AW631" s="39"/>
      <c r="AX631" s="39"/>
      <c r="AY631" s="39"/>
      <c r="AZ631" s="39"/>
      <c r="BA631" s="39"/>
      <c r="BB631" s="39"/>
      <c r="BC631" s="39"/>
      <c r="BD631" s="39"/>
      <c r="BE631" s="39"/>
      <c r="BF631" s="39"/>
      <c r="BG631" s="39"/>
      <c r="BH631" s="39"/>
      <c r="BI631" s="39"/>
      <c r="BJ631" s="39"/>
      <c r="BK631" s="39"/>
      <c r="BL631" s="39"/>
      <c r="BM631" s="39"/>
    </row>
    <row r="632" spans="1:65" x14ac:dyDescent="0.15">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c r="AM632" s="39"/>
      <c r="AN632" s="39"/>
      <c r="AO632" s="39"/>
      <c r="AP632" s="39"/>
      <c r="AQ632" s="39"/>
      <c r="AR632" s="39"/>
      <c r="AS632" s="39"/>
      <c r="AT632" s="39"/>
      <c r="AU632" s="39"/>
      <c r="AV632" s="39"/>
      <c r="AW632" s="39"/>
      <c r="AX632" s="39"/>
      <c r="AY632" s="39"/>
      <c r="AZ632" s="39"/>
      <c r="BA632" s="39"/>
      <c r="BB632" s="39"/>
      <c r="BC632" s="39"/>
      <c r="BD632" s="39"/>
      <c r="BE632" s="39"/>
      <c r="BF632" s="39"/>
      <c r="BG632" s="39"/>
      <c r="BH632" s="39"/>
      <c r="BI632" s="39"/>
      <c r="BJ632" s="39"/>
      <c r="BK632" s="39"/>
      <c r="BL632" s="39"/>
      <c r="BM632" s="39"/>
    </row>
    <row r="633" spans="1:65" x14ac:dyDescent="0.15">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B633" s="39"/>
      <c r="BC633" s="39"/>
      <c r="BD633" s="39"/>
      <c r="BE633" s="39"/>
      <c r="BF633" s="39"/>
      <c r="BG633" s="39"/>
      <c r="BH633" s="39"/>
      <c r="BI633" s="39"/>
      <c r="BJ633" s="39"/>
      <c r="BK633" s="39"/>
      <c r="BL633" s="39"/>
      <c r="BM633" s="39"/>
    </row>
    <row r="634" spans="1:65" x14ac:dyDescent="0.15">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c r="AM634" s="39"/>
      <c r="AN634" s="39"/>
      <c r="AO634" s="39"/>
      <c r="AP634" s="39"/>
      <c r="AQ634" s="39"/>
      <c r="AR634" s="39"/>
      <c r="AS634" s="39"/>
      <c r="AT634" s="39"/>
      <c r="AU634" s="39"/>
      <c r="AV634" s="39"/>
      <c r="AW634" s="39"/>
      <c r="AX634" s="39"/>
      <c r="AY634" s="39"/>
      <c r="AZ634" s="39"/>
      <c r="BA634" s="39"/>
      <c r="BB634" s="39"/>
      <c r="BC634" s="39"/>
      <c r="BD634" s="39"/>
      <c r="BE634" s="39"/>
      <c r="BF634" s="39"/>
      <c r="BG634" s="39"/>
      <c r="BH634" s="39"/>
      <c r="BI634" s="39"/>
      <c r="BJ634" s="39"/>
      <c r="BK634" s="39"/>
      <c r="BL634" s="39"/>
      <c r="BM634" s="39"/>
    </row>
    <row r="635" spans="1:65" x14ac:dyDescent="0.1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c r="AM635" s="39"/>
      <c r="AN635" s="39"/>
      <c r="AO635" s="39"/>
      <c r="AP635" s="39"/>
      <c r="AQ635" s="39"/>
      <c r="AR635" s="39"/>
      <c r="AS635" s="39"/>
      <c r="AT635" s="39"/>
      <c r="AU635" s="39"/>
      <c r="AV635" s="39"/>
      <c r="AW635" s="39"/>
      <c r="AX635" s="39"/>
      <c r="AY635" s="39"/>
      <c r="AZ635" s="39"/>
      <c r="BA635" s="39"/>
      <c r="BB635" s="39"/>
      <c r="BC635" s="39"/>
      <c r="BD635" s="39"/>
      <c r="BE635" s="39"/>
      <c r="BF635" s="39"/>
      <c r="BG635" s="39"/>
      <c r="BH635" s="39"/>
      <c r="BI635" s="39"/>
      <c r="BJ635" s="39"/>
      <c r="BK635" s="39"/>
      <c r="BL635" s="39"/>
      <c r="BM635" s="39"/>
    </row>
    <row r="636" spans="1:65" x14ac:dyDescent="0.15">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c r="AM636" s="39"/>
      <c r="AN636" s="39"/>
      <c r="AO636" s="39"/>
      <c r="AP636" s="39"/>
      <c r="AQ636" s="39"/>
      <c r="AR636" s="39"/>
      <c r="AS636" s="39"/>
      <c r="AT636" s="39"/>
      <c r="AU636" s="39"/>
      <c r="AV636" s="39"/>
      <c r="AW636" s="39"/>
      <c r="AX636" s="39"/>
      <c r="AY636" s="39"/>
      <c r="AZ636" s="39"/>
      <c r="BA636" s="39"/>
      <c r="BB636" s="39"/>
      <c r="BC636" s="39"/>
      <c r="BD636" s="39"/>
      <c r="BE636" s="39"/>
      <c r="BF636" s="39"/>
      <c r="BG636" s="39"/>
      <c r="BH636" s="39"/>
      <c r="BI636" s="39"/>
      <c r="BJ636" s="39"/>
      <c r="BK636" s="39"/>
      <c r="BL636" s="39"/>
      <c r="BM636" s="39"/>
    </row>
    <row r="637" spans="1:65" x14ac:dyDescent="0.15">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c r="AP637" s="39"/>
      <c r="AQ637" s="39"/>
      <c r="AR637" s="39"/>
      <c r="AS637" s="39"/>
      <c r="AT637" s="39"/>
      <c r="AU637" s="39"/>
      <c r="AV637" s="39"/>
      <c r="AW637" s="39"/>
      <c r="AX637" s="39"/>
      <c r="AY637" s="39"/>
      <c r="AZ637" s="39"/>
      <c r="BA637" s="39"/>
      <c r="BB637" s="39"/>
      <c r="BC637" s="39"/>
      <c r="BD637" s="39"/>
      <c r="BE637" s="39"/>
      <c r="BF637" s="39"/>
      <c r="BG637" s="39"/>
      <c r="BH637" s="39"/>
      <c r="BI637" s="39"/>
      <c r="BJ637" s="39"/>
      <c r="BK637" s="39"/>
      <c r="BL637" s="39"/>
      <c r="BM637" s="39"/>
    </row>
    <row r="638" spans="1:65" x14ac:dyDescent="0.15">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c r="AM638" s="39"/>
      <c r="AN638" s="39"/>
      <c r="AO638" s="39"/>
      <c r="AP638" s="39"/>
      <c r="AQ638" s="39"/>
      <c r="AR638" s="39"/>
      <c r="AS638" s="39"/>
      <c r="AT638" s="39"/>
      <c r="AU638" s="39"/>
      <c r="AV638" s="39"/>
      <c r="AW638" s="39"/>
      <c r="AX638" s="39"/>
      <c r="AY638" s="39"/>
      <c r="AZ638" s="39"/>
      <c r="BA638" s="39"/>
      <c r="BB638" s="39"/>
      <c r="BC638" s="39"/>
      <c r="BD638" s="39"/>
      <c r="BE638" s="39"/>
      <c r="BF638" s="39"/>
      <c r="BG638" s="39"/>
      <c r="BH638" s="39"/>
      <c r="BI638" s="39"/>
      <c r="BJ638" s="39"/>
      <c r="BK638" s="39"/>
      <c r="BL638" s="39"/>
      <c r="BM638" s="39"/>
    </row>
    <row r="639" spans="1:65" x14ac:dyDescent="0.15">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B639" s="39"/>
      <c r="BC639" s="39"/>
      <c r="BD639" s="39"/>
      <c r="BE639" s="39"/>
      <c r="BF639" s="39"/>
      <c r="BG639" s="39"/>
      <c r="BH639" s="39"/>
      <c r="BI639" s="39"/>
      <c r="BJ639" s="39"/>
      <c r="BK639" s="39"/>
      <c r="BL639" s="39"/>
      <c r="BM639" s="39"/>
    </row>
    <row r="640" spans="1:65" x14ac:dyDescent="0.15">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c r="AM640" s="39"/>
      <c r="AN640" s="39"/>
      <c r="AO640" s="39"/>
      <c r="AP640" s="39"/>
      <c r="AQ640" s="39"/>
      <c r="AR640" s="39"/>
      <c r="AS640" s="39"/>
      <c r="AT640" s="39"/>
      <c r="AU640" s="39"/>
      <c r="AV640" s="39"/>
      <c r="AW640" s="39"/>
      <c r="AX640" s="39"/>
      <c r="AY640" s="39"/>
      <c r="AZ640" s="39"/>
      <c r="BA640" s="39"/>
      <c r="BB640" s="39"/>
      <c r="BC640" s="39"/>
      <c r="BD640" s="39"/>
      <c r="BE640" s="39"/>
      <c r="BF640" s="39"/>
      <c r="BG640" s="39"/>
      <c r="BH640" s="39"/>
      <c r="BI640" s="39"/>
      <c r="BJ640" s="39"/>
      <c r="BK640" s="39"/>
      <c r="BL640" s="39"/>
      <c r="BM640" s="39"/>
    </row>
    <row r="641" spans="1:65" x14ac:dyDescent="0.15">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c r="AM641" s="39"/>
      <c r="AN641" s="39"/>
      <c r="AO641" s="39"/>
      <c r="AP641" s="39"/>
      <c r="AQ641" s="39"/>
      <c r="AR641" s="39"/>
      <c r="AS641" s="39"/>
      <c r="AT641" s="39"/>
      <c r="AU641" s="39"/>
      <c r="AV641" s="39"/>
      <c r="AW641" s="39"/>
      <c r="AX641" s="39"/>
      <c r="AY641" s="39"/>
      <c r="AZ641" s="39"/>
      <c r="BA641" s="39"/>
      <c r="BB641" s="39"/>
      <c r="BC641" s="39"/>
      <c r="BD641" s="39"/>
      <c r="BE641" s="39"/>
      <c r="BF641" s="39"/>
      <c r="BG641" s="39"/>
      <c r="BH641" s="39"/>
      <c r="BI641" s="39"/>
      <c r="BJ641" s="39"/>
      <c r="BK641" s="39"/>
      <c r="BL641" s="39"/>
      <c r="BM641" s="39"/>
    </row>
    <row r="642" spans="1:65" x14ac:dyDescent="0.15">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c r="AP642" s="39"/>
      <c r="AQ642" s="39"/>
      <c r="AR642" s="39"/>
      <c r="AS642" s="39"/>
      <c r="AT642" s="39"/>
      <c r="AU642" s="39"/>
      <c r="AV642" s="39"/>
      <c r="AW642" s="39"/>
      <c r="AX642" s="39"/>
      <c r="AY642" s="39"/>
      <c r="AZ642" s="39"/>
      <c r="BA642" s="39"/>
      <c r="BB642" s="39"/>
      <c r="BC642" s="39"/>
      <c r="BD642" s="39"/>
      <c r="BE642" s="39"/>
      <c r="BF642" s="39"/>
      <c r="BG642" s="39"/>
      <c r="BH642" s="39"/>
      <c r="BI642" s="39"/>
      <c r="BJ642" s="39"/>
      <c r="BK642" s="39"/>
      <c r="BL642" s="39"/>
      <c r="BM642" s="39"/>
    </row>
    <row r="643" spans="1:65" x14ac:dyDescent="0.15">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c r="AM643" s="39"/>
      <c r="AN643" s="39"/>
      <c r="AO643" s="39"/>
      <c r="AP643" s="39"/>
      <c r="AQ643" s="39"/>
      <c r="AR643" s="39"/>
      <c r="AS643" s="39"/>
      <c r="AT643" s="39"/>
      <c r="AU643" s="39"/>
      <c r="AV643" s="39"/>
      <c r="AW643" s="39"/>
      <c r="AX643" s="39"/>
      <c r="AY643" s="39"/>
      <c r="AZ643" s="39"/>
      <c r="BA643" s="39"/>
      <c r="BB643" s="39"/>
      <c r="BC643" s="39"/>
      <c r="BD643" s="39"/>
      <c r="BE643" s="39"/>
      <c r="BF643" s="39"/>
      <c r="BG643" s="39"/>
      <c r="BH643" s="39"/>
      <c r="BI643" s="39"/>
      <c r="BJ643" s="39"/>
      <c r="BK643" s="39"/>
      <c r="BL643" s="39"/>
      <c r="BM643" s="39"/>
    </row>
    <row r="644" spans="1:65" x14ac:dyDescent="0.15">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c r="AM644" s="39"/>
      <c r="AN644" s="39"/>
      <c r="AO644" s="39"/>
      <c r="AP644" s="39"/>
      <c r="AQ644" s="39"/>
      <c r="AR644" s="39"/>
      <c r="AS644" s="39"/>
      <c r="AT644" s="39"/>
      <c r="AU644" s="39"/>
      <c r="AV644" s="39"/>
      <c r="AW644" s="39"/>
      <c r="AX644" s="39"/>
      <c r="AY644" s="39"/>
      <c r="AZ644" s="39"/>
      <c r="BA644" s="39"/>
      <c r="BB644" s="39"/>
      <c r="BC644" s="39"/>
      <c r="BD644" s="39"/>
      <c r="BE644" s="39"/>
      <c r="BF644" s="39"/>
      <c r="BG644" s="39"/>
      <c r="BH644" s="39"/>
      <c r="BI644" s="39"/>
      <c r="BJ644" s="39"/>
      <c r="BK644" s="39"/>
      <c r="BL644" s="39"/>
      <c r="BM644" s="39"/>
    </row>
    <row r="645" spans="1:65" x14ac:dyDescent="0.1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c r="BA645" s="39"/>
      <c r="BB645" s="39"/>
      <c r="BC645" s="39"/>
      <c r="BD645" s="39"/>
      <c r="BE645" s="39"/>
      <c r="BF645" s="39"/>
      <c r="BG645" s="39"/>
      <c r="BH645" s="39"/>
      <c r="BI645" s="39"/>
      <c r="BJ645" s="39"/>
      <c r="BK645" s="39"/>
      <c r="BL645" s="39"/>
      <c r="BM645" s="39"/>
    </row>
    <row r="646" spans="1:65" x14ac:dyDescent="0.15">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c r="AM646" s="39"/>
      <c r="AN646" s="39"/>
      <c r="AO646" s="39"/>
      <c r="AP646" s="39"/>
      <c r="AQ646" s="39"/>
      <c r="AR646" s="39"/>
      <c r="AS646" s="39"/>
      <c r="AT646" s="39"/>
      <c r="AU646" s="39"/>
      <c r="AV646" s="39"/>
      <c r="AW646" s="39"/>
      <c r="AX646" s="39"/>
      <c r="AY646" s="39"/>
      <c r="AZ646" s="39"/>
      <c r="BA646" s="39"/>
      <c r="BB646" s="39"/>
      <c r="BC646" s="39"/>
      <c r="BD646" s="39"/>
      <c r="BE646" s="39"/>
      <c r="BF646" s="39"/>
      <c r="BG646" s="39"/>
      <c r="BH646" s="39"/>
      <c r="BI646" s="39"/>
      <c r="BJ646" s="39"/>
      <c r="BK646" s="39"/>
      <c r="BL646" s="39"/>
      <c r="BM646" s="39"/>
    </row>
    <row r="647" spans="1:65" x14ac:dyDescent="0.15">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c r="AM647" s="39"/>
      <c r="AN647" s="39"/>
      <c r="AO647" s="39"/>
      <c r="AP647" s="39"/>
      <c r="AQ647" s="39"/>
      <c r="AR647" s="39"/>
      <c r="AS647" s="39"/>
      <c r="AT647" s="39"/>
      <c r="AU647" s="39"/>
      <c r="AV647" s="39"/>
      <c r="AW647" s="39"/>
      <c r="AX647" s="39"/>
      <c r="AY647" s="39"/>
      <c r="AZ647" s="39"/>
      <c r="BA647" s="39"/>
      <c r="BB647" s="39"/>
      <c r="BC647" s="39"/>
      <c r="BD647" s="39"/>
      <c r="BE647" s="39"/>
      <c r="BF647" s="39"/>
      <c r="BG647" s="39"/>
      <c r="BH647" s="39"/>
      <c r="BI647" s="39"/>
      <c r="BJ647" s="39"/>
      <c r="BK647" s="39"/>
      <c r="BL647" s="39"/>
      <c r="BM647" s="39"/>
    </row>
    <row r="648" spans="1:65" x14ac:dyDescent="0.15">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c r="AP648" s="39"/>
      <c r="AQ648" s="39"/>
      <c r="AR648" s="39"/>
      <c r="AS648" s="39"/>
      <c r="AT648" s="39"/>
      <c r="AU648" s="39"/>
      <c r="AV648" s="39"/>
      <c r="AW648" s="39"/>
      <c r="AX648" s="39"/>
      <c r="AY648" s="39"/>
      <c r="AZ648" s="39"/>
      <c r="BA648" s="39"/>
      <c r="BB648" s="39"/>
      <c r="BC648" s="39"/>
      <c r="BD648" s="39"/>
      <c r="BE648" s="39"/>
      <c r="BF648" s="39"/>
      <c r="BG648" s="39"/>
      <c r="BH648" s="39"/>
      <c r="BI648" s="39"/>
      <c r="BJ648" s="39"/>
      <c r="BK648" s="39"/>
      <c r="BL648" s="39"/>
      <c r="BM648" s="39"/>
    </row>
    <row r="649" spans="1:65" x14ac:dyDescent="0.15">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c r="AM649" s="39"/>
      <c r="AN649" s="39"/>
      <c r="AO649" s="39"/>
      <c r="AP649" s="39"/>
      <c r="AQ649" s="39"/>
      <c r="AR649" s="39"/>
      <c r="AS649" s="39"/>
      <c r="AT649" s="39"/>
      <c r="AU649" s="39"/>
      <c r="AV649" s="39"/>
      <c r="AW649" s="39"/>
      <c r="AX649" s="39"/>
      <c r="AY649" s="39"/>
      <c r="AZ649" s="39"/>
      <c r="BA649" s="39"/>
      <c r="BB649" s="39"/>
      <c r="BC649" s="39"/>
      <c r="BD649" s="39"/>
      <c r="BE649" s="39"/>
      <c r="BF649" s="39"/>
      <c r="BG649" s="39"/>
      <c r="BH649" s="39"/>
      <c r="BI649" s="39"/>
      <c r="BJ649" s="39"/>
      <c r="BK649" s="39"/>
      <c r="BL649" s="39"/>
      <c r="BM649" s="39"/>
    </row>
    <row r="650" spans="1:65" x14ac:dyDescent="0.15">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c r="AM650" s="39"/>
      <c r="AN650" s="39"/>
      <c r="AO650" s="39"/>
      <c r="AP650" s="39"/>
      <c r="AQ650" s="39"/>
      <c r="AR650" s="39"/>
      <c r="AS650" s="39"/>
      <c r="AT650" s="39"/>
      <c r="AU650" s="39"/>
      <c r="AV650" s="39"/>
      <c r="AW650" s="39"/>
      <c r="AX650" s="39"/>
      <c r="AY650" s="39"/>
      <c r="AZ650" s="39"/>
      <c r="BA650" s="39"/>
      <c r="BB650" s="39"/>
      <c r="BC650" s="39"/>
      <c r="BD650" s="39"/>
      <c r="BE650" s="39"/>
      <c r="BF650" s="39"/>
      <c r="BG650" s="39"/>
      <c r="BH650" s="39"/>
      <c r="BI650" s="39"/>
      <c r="BJ650" s="39"/>
      <c r="BK650" s="39"/>
      <c r="BL650" s="39"/>
      <c r="BM650" s="39"/>
    </row>
    <row r="651" spans="1:65" x14ac:dyDescent="0.15">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c r="AM651" s="39"/>
      <c r="AN651" s="39"/>
      <c r="AO651" s="39"/>
      <c r="AP651" s="39"/>
      <c r="AQ651" s="39"/>
      <c r="AR651" s="39"/>
      <c r="AS651" s="39"/>
      <c r="AT651" s="39"/>
      <c r="AU651" s="39"/>
      <c r="AV651" s="39"/>
      <c r="AW651" s="39"/>
      <c r="AX651" s="39"/>
      <c r="AY651" s="39"/>
      <c r="AZ651" s="39"/>
      <c r="BA651" s="39"/>
      <c r="BB651" s="39"/>
      <c r="BC651" s="39"/>
      <c r="BD651" s="39"/>
      <c r="BE651" s="39"/>
      <c r="BF651" s="39"/>
      <c r="BG651" s="39"/>
      <c r="BH651" s="39"/>
      <c r="BI651" s="39"/>
      <c r="BJ651" s="39"/>
      <c r="BK651" s="39"/>
      <c r="BL651" s="39"/>
      <c r="BM651" s="39"/>
    </row>
    <row r="652" spans="1:65" x14ac:dyDescent="0.15">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c r="AM652" s="39"/>
      <c r="AN652" s="39"/>
      <c r="AO652" s="39"/>
      <c r="AP652" s="39"/>
      <c r="AQ652" s="39"/>
      <c r="AR652" s="39"/>
      <c r="AS652" s="39"/>
      <c r="AT652" s="39"/>
      <c r="AU652" s="39"/>
      <c r="AV652" s="39"/>
      <c r="AW652" s="39"/>
      <c r="AX652" s="39"/>
      <c r="AY652" s="39"/>
      <c r="AZ652" s="39"/>
      <c r="BA652" s="39"/>
      <c r="BB652" s="39"/>
      <c r="BC652" s="39"/>
      <c r="BD652" s="39"/>
      <c r="BE652" s="39"/>
      <c r="BF652" s="39"/>
      <c r="BG652" s="39"/>
      <c r="BH652" s="39"/>
      <c r="BI652" s="39"/>
      <c r="BJ652" s="39"/>
      <c r="BK652" s="39"/>
      <c r="BL652" s="39"/>
      <c r="BM652" s="39"/>
    </row>
    <row r="653" spans="1:65" x14ac:dyDescent="0.15">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c r="AM653" s="39"/>
      <c r="AN653" s="39"/>
      <c r="AO653" s="39"/>
      <c r="AP653" s="39"/>
      <c r="AQ653" s="39"/>
      <c r="AR653" s="39"/>
      <c r="AS653" s="39"/>
      <c r="AT653" s="39"/>
      <c r="AU653" s="39"/>
      <c r="AV653" s="39"/>
      <c r="AW653" s="39"/>
      <c r="AX653" s="39"/>
      <c r="AY653" s="39"/>
      <c r="AZ653" s="39"/>
      <c r="BA653" s="39"/>
      <c r="BB653" s="39"/>
      <c r="BC653" s="39"/>
      <c r="BD653" s="39"/>
      <c r="BE653" s="39"/>
      <c r="BF653" s="39"/>
      <c r="BG653" s="39"/>
      <c r="BH653" s="39"/>
      <c r="BI653" s="39"/>
      <c r="BJ653" s="39"/>
      <c r="BK653" s="39"/>
      <c r="BL653" s="39"/>
      <c r="BM653" s="39"/>
    </row>
    <row r="654" spans="1:65" x14ac:dyDescent="0.15">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c r="AP654" s="39"/>
      <c r="AQ654" s="39"/>
      <c r="AR654" s="39"/>
      <c r="AS654" s="39"/>
      <c r="AT654" s="39"/>
      <c r="AU654" s="39"/>
      <c r="AV654" s="39"/>
      <c r="AW654" s="39"/>
      <c r="AX654" s="39"/>
      <c r="AY654" s="39"/>
      <c r="AZ654" s="39"/>
      <c r="BA654" s="39"/>
      <c r="BB654" s="39"/>
      <c r="BC654" s="39"/>
      <c r="BD654" s="39"/>
      <c r="BE654" s="39"/>
      <c r="BF654" s="39"/>
      <c r="BG654" s="39"/>
      <c r="BH654" s="39"/>
      <c r="BI654" s="39"/>
      <c r="BJ654" s="39"/>
      <c r="BK654" s="39"/>
      <c r="BL654" s="39"/>
      <c r="BM654" s="39"/>
    </row>
    <row r="655" spans="1:65" x14ac:dyDescent="0.1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c r="AM655" s="39"/>
      <c r="AN655" s="39"/>
      <c r="AO655" s="39"/>
      <c r="AP655" s="39"/>
      <c r="AQ655" s="39"/>
      <c r="AR655" s="39"/>
      <c r="AS655" s="39"/>
      <c r="AT655" s="39"/>
      <c r="AU655" s="39"/>
      <c r="AV655" s="39"/>
      <c r="AW655" s="39"/>
      <c r="AX655" s="39"/>
      <c r="AY655" s="39"/>
      <c r="AZ655" s="39"/>
      <c r="BA655" s="39"/>
      <c r="BB655" s="39"/>
      <c r="BC655" s="39"/>
      <c r="BD655" s="39"/>
      <c r="BE655" s="39"/>
      <c r="BF655" s="39"/>
      <c r="BG655" s="39"/>
      <c r="BH655" s="39"/>
      <c r="BI655" s="39"/>
      <c r="BJ655" s="39"/>
      <c r="BK655" s="39"/>
      <c r="BL655" s="39"/>
      <c r="BM655" s="39"/>
    </row>
    <row r="656" spans="1:65" x14ac:dyDescent="0.15">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c r="AM656" s="39"/>
      <c r="AN656" s="39"/>
      <c r="AO656" s="39"/>
      <c r="AP656" s="39"/>
      <c r="AQ656" s="39"/>
      <c r="AR656" s="39"/>
      <c r="AS656" s="39"/>
      <c r="AT656" s="39"/>
      <c r="AU656" s="39"/>
      <c r="AV656" s="39"/>
      <c r="AW656" s="39"/>
      <c r="AX656" s="39"/>
      <c r="AY656" s="39"/>
      <c r="AZ656" s="39"/>
      <c r="BA656" s="39"/>
      <c r="BB656" s="39"/>
      <c r="BC656" s="39"/>
      <c r="BD656" s="39"/>
      <c r="BE656" s="39"/>
      <c r="BF656" s="39"/>
      <c r="BG656" s="39"/>
      <c r="BH656" s="39"/>
      <c r="BI656" s="39"/>
      <c r="BJ656" s="39"/>
      <c r="BK656" s="39"/>
      <c r="BL656" s="39"/>
      <c r="BM656" s="39"/>
    </row>
    <row r="657" spans="1:65" x14ac:dyDescent="0.15">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c r="AM657" s="39"/>
      <c r="AN657" s="39"/>
      <c r="AO657" s="39"/>
      <c r="AP657" s="39"/>
      <c r="AQ657" s="39"/>
      <c r="AR657" s="39"/>
      <c r="AS657" s="39"/>
      <c r="AT657" s="39"/>
      <c r="AU657" s="39"/>
      <c r="AV657" s="39"/>
      <c r="AW657" s="39"/>
      <c r="AX657" s="39"/>
      <c r="AY657" s="39"/>
      <c r="AZ657" s="39"/>
      <c r="BA657" s="39"/>
      <c r="BB657" s="39"/>
      <c r="BC657" s="39"/>
      <c r="BD657" s="39"/>
      <c r="BE657" s="39"/>
      <c r="BF657" s="39"/>
      <c r="BG657" s="39"/>
      <c r="BH657" s="39"/>
      <c r="BI657" s="39"/>
      <c r="BJ657" s="39"/>
      <c r="BK657" s="39"/>
      <c r="BL657" s="39"/>
      <c r="BM657" s="39"/>
    </row>
    <row r="658" spans="1:65" x14ac:dyDescent="0.15">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c r="AM658" s="39"/>
      <c r="AN658" s="39"/>
      <c r="AO658" s="39"/>
      <c r="AP658" s="39"/>
      <c r="AQ658" s="39"/>
      <c r="AR658" s="39"/>
      <c r="AS658" s="39"/>
      <c r="AT658" s="39"/>
      <c r="AU658" s="39"/>
      <c r="AV658" s="39"/>
      <c r="AW658" s="39"/>
      <c r="AX658" s="39"/>
      <c r="AY658" s="39"/>
      <c r="AZ658" s="39"/>
      <c r="BA658" s="39"/>
      <c r="BB658" s="39"/>
      <c r="BC658" s="39"/>
      <c r="BD658" s="39"/>
      <c r="BE658" s="39"/>
      <c r="BF658" s="39"/>
      <c r="BG658" s="39"/>
      <c r="BH658" s="39"/>
      <c r="BI658" s="39"/>
      <c r="BJ658" s="39"/>
      <c r="BK658" s="39"/>
      <c r="BL658" s="39"/>
      <c r="BM658" s="39"/>
    </row>
    <row r="659" spans="1:65" x14ac:dyDescent="0.15">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c r="AM659" s="39"/>
      <c r="AN659" s="39"/>
      <c r="AO659" s="39"/>
      <c r="AP659" s="39"/>
      <c r="AQ659" s="39"/>
      <c r="AR659" s="39"/>
      <c r="AS659" s="39"/>
      <c r="AT659" s="39"/>
      <c r="AU659" s="39"/>
      <c r="AV659" s="39"/>
      <c r="AW659" s="39"/>
      <c r="AX659" s="39"/>
      <c r="AY659" s="39"/>
      <c r="AZ659" s="39"/>
      <c r="BA659" s="39"/>
      <c r="BB659" s="39"/>
      <c r="BC659" s="39"/>
      <c r="BD659" s="39"/>
      <c r="BE659" s="39"/>
      <c r="BF659" s="39"/>
      <c r="BG659" s="39"/>
      <c r="BH659" s="39"/>
      <c r="BI659" s="39"/>
      <c r="BJ659" s="39"/>
      <c r="BK659" s="39"/>
      <c r="BL659" s="39"/>
      <c r="BM659" s="39"/>
    </row>
    <row r="660" spans="1:65" x14ac:dyDescent="0.15">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c r="AP660" s="39"/>
      <c r="AQ660" s="39"/>
      <c r="AR660" s="39"/>
      <c r="AS660" s="39"/>
      <c r="AT660" s="39"/>
      <c r="AU660" s="39"/>
      <c r="AV660" s="39"/>
      <c r="AW660" s="39"/>
      <c r="AX660" s="39"/>
      <c r="AY660" s="39"/>
      <c r="AZ660" s="39"/>
      <c r="BA660" s="39"/>
      <c r="BB660" s="39"/>
      <c r="BC660" s="39"/>
      <c r="BD660" s="39"/>
      <c r="BE660" s="39"/>
      <c r="BF660" s="39"/>
      <c r="BG660" s="39"/>
      <c r="BH660" s="39"/>
      <c r="BI660" s="39"/>
      <c r="BJ660" s="39"/>
      <c r="BK660" s="39"/>
      <c r="BL660" s="39"/>
      <c r="BM660" s="39"/>
    </row>
    <row r="661" spans="1:65" x14ac:dyDescent="0.15">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c r="AM661" s="39"/>
      <c r="AN661" s="39"/>
      <c r="AO661" s="39"/>
      <c r="AP661" s="39"/>
      <c r="AQ661" s="39"/>
      <c r="AR661" s="39"/>
      <c r="AS661" s="39"/>
      <c r="AT661" s="39"/>
      <c r="AU661" s="39"/>
      <c r="AV661" s="39"/>
      <c r="AW661" s="39"/>
      <c r="AX661" s="39"/>
      <c r="AY661" s="39"/>
      <c r="AZ661" s="39"/>
      <c r="BA661" s="39"/>
      <c r="BB661" s="39"/>
      <c r="BC661" s="39"/>
      <c r="BD661" s="39"/>
      <c r="BE661" s="39"/>
      <c r="BF661" s="39"/>
      <c r="BG661" s="39"/>
      <c r="BH661" s="39"/>
      <c r="BI661" s="39"/>
      <c r="BJ661" s="39"/>
      <c r="BK661" s="39"/>
      <c r="BL661" s="39"/>
      <c r="BM661" s="39"/>
    </row>
    <row r="662" spans="1:65" x14ac:dyDescent="0.15">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c r="BA662" s="39"/>
      <c r="BB662" s="39"/>
      <c r="BC662" s="39"/>
      <c r="BD662" s="39"/>
      <c r="BE662" s="39"/>
      <c r="BF662" s="39"/>
      <c r="BG662" s="39"/>
      <c r="BH662" s="39"/>
      <c r="BI662" s="39"/>
      <c r="BJ662" s="39"/>
      <c r="BK662" s="39"/>
      <c r="BL662" s="39"/>
      <c r="BM662" s="39"/>
    </row>
    <row r="663" spans="1:65" x14ac:dyDescent="0.15">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c r="AM663" s="39"/>
      <c r="AN663" s="39"/>
      <c r="AO663" s="39"/>
      <c r="AP663" s="39"/>
      <c r="AQ663" s="39"/>
      <c r="AR663" s="39"/>
      <c r="AS663" s="39"/>
      <c r="AT663" s="39"/>
      <c r="AU663" s="39"/>
      <c r="AV663" s="39"/>
      <c r="AW663" s="39"/>
      <c r="AX663" s="39"/>
      <c r="AY663" s="39"/>
      <c r="AZ663" s="39"/>
      <c r="BA663" s="39"/>
      <c r="BB663" s="39"/>
      <c r="BC663" s="39"/>
      <c r="BD663" s="39"/>
      <c r="BE663" s="39"/>
      <c r="BF663" s="39"/>
      <c r="BG663" s="39"/>
      <c r="BH663" s="39"/>
      <c r="BI663" s="39"/>
      <c r="BJ663" s="39"/>
      <c r="BK663" s="39"/>
      <c r="BL663" s="39"/>
      <c r="BM663" s="39"/>
    </row>
    <row r="664" spans="1:65" x14ac:dyDescent="0.15">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c r="AM664" s="39"/>
      <c r="AN664" s="39"/>
      <c r="AO664" s="39"/>
      <c r="AP664" s="39"/>
      <c r="AQ664" s="39"/>
      <c r="AR664" s="39"/>
      <c r="AS664" s="39"/>
      <c r="AT664" s="39"/>
      <c r="AU664" s="39"/>
      <c r="AV664" s="39"/>
      <c r="AW664" s="39"/>
      <c r="AX664" s="39"/>
      <c r="AY664" s="39"/>
      <c r="AZ664" s="39"/>
      <c r="BA664" s="39"/>
      <c r="BB664" s="39"/>
      <c r="BC664" s="39"/>
      <c r="BD664" s="39"/>
      <c r="BE664" s="39"/>
      <c r="BF664" s="39"/>
      <c r="BG664" s="39"/>
      <c r="BH664" s="39"/>
      <c r="BI664" s="39"/>
      <c r="BJ664" s="39"/>
      <c r="BK664" s="39"/>
      <c r="BL664" s="39"/>
      <c r="BM664" s="39"/>
    </row>
    <row r="665" spans="1:65" x14ac:dyDescent="0.1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c r="AM665" s="39"/>
      <c r="AN665" s="39"/>
      <c r="AO665" s="39"/>
      <c r="AP665" s="39"/>
      <c r="AQ665" s="39"/>
      <c r="AR665" s="39"/>
      <c r="AS665" s="39"/>
      <c r="AT665" s="39"/>
      <c r="AU665" s="39"/>
      <c r="AV665" s="39"/>
      <c r="AW665" s="39"/>
      <c r="AX665" s="39"/>
      <c r="AY665" s="39"/>
      <c r="AZ665" s="39"/>
      <c r="BA665" s="39"/>
      <c r="BB665" s="39"/>
      <c r="BC665" s="39"/>
      <c r="BD665" s="39"/>
      <c r="BE665" s="39"/>
      <c r="BF665" s="39"/>
      <c r="BG665" s="39"/>
      <c r="BH665" s="39"/>
      <c r="BI665" s="39"/>
      <c r="BJ665" s="39"/>
      <c r="BK665" s="39"/>
      <c r="BL665" s="39"/>
      <c r="BM665" s="39"/>
    </row>
    <row r="666" spans="1:65" x14ac:dyDescent="0.15">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c r="AM666" s="39"/>
      <c r="AN666" s="39"/>
      <c r="AO666" s="39"/>
      <c r="AP666" s="39"/>
      <c r="AQ666" s="39"/>
      <c r="AR666" s="39"/>
      <c r="AS666" s="39"/>
      <c r="AT666" s="39"/>
      <c r="AU666" s="39"/>
      <c r="AV666" s="39"/>
      <c r="AW666" s="39"/>
      <c r="AX666" s="39"/>
      <c r="AY666" s="39"/>
      <c r="AZ666" s="39"/>
      <c r="BA666" s="39"/>
      <c r="BB666" s="39"/>
      <c r="BC666" s="39"/>
      <c r="BD666" s="39"/>
      <c r="BE666" s="39"/>
      <c r="BF666" s="39"/>
      <c r="BG666" s="39"/>
      <c r="BH666" s="39"/>
      <c r="BI666" s="39"/>
      <c r="BJ666" s="39"/>
      <c r="BK666" s="39"/>
      <c r="BL666" s="39"/>
      <c r="BM666" s="39"/>
    </row>
    <row r="667" spans="1:65" x14ac:dyDescent="0.15">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c r="AM667" s="39"/>
      <c r="AN667" s="39"/>
      <c r="AO667" s="39"/>
      <c r="AP667" s="39"/>
      <c r="AQ667" s="39"/>
      <c r="AR667" s="39"/>
      <c r="AS667" s="39"/>
      <c r="AT667" s="39"/>
      <c r="AU667" s="39"/>
      <c r="AV667" s="39"/>
      <c r="AW667" s="39"/>
      <c r="AX667" s="39"/>
      <c r="AY667" s="39"/>
      <c r="AZ667" s="39"/>
      <c r="BA667" s="39"/>
      <c r="BB667" s="39"/>
      <c r="BC667" s="39"/>
      <c r="BD667" s="39"/>
      <c r="BE667" s="39"/>
      <c r="BF667" s="39"/>
      <c r="BG667" s="39"/>
      <c r="BH667" s="39"/>
      <c r="BI667" s="39"/>
      <c r="BJ667" s="39"/>
      <c r="BK667" s="39"/>
      <c r="BL667" s="39"/>
      <c r="BM667" s="39"/>
    </row>
    <row r="668" spans="1:65" x14ac:dyDescent="0.15">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c r="AM668" s="39"/>
      <c r="AN668" s="39"/>
      <c r="AO668" s="39"/>
      <c r="AP668" s="39"/>
      <c r="AQ668" s="39"/>
      <c r="AR668" s="39"/>
      <c r="AS668" s="39"/>
      <c r="AT668" s="39"/>
      <c r="AU668" s="39"/>
      <c r="AV668" s="39"/>
      <c r="AW668" s="39"/>
      <c r="AX668" s="39"/>
      <c r="AY668" s="39"/>
      <c r="AZ668" s="39"/>
      <c r="BA668" s="39"/>
      <c r="BB668" s="39"/>
      <c r="BC668" s="39"/>
      <c r="BD668" s="39"/>
      <c r="BE668" s="39"/>
      <c r="BF668" s="39"/>
      <c r="BG668" s="39"/>
      <c r="BH668" s="39"/>
      <c r="BI668" s="39"/>
      <c r="BJ668" s="39"/>
      <c r="BK668" s="39"/>
      <c r="BL668" s="39"/>
      <c r="BM668" s="39"/>
    </row>
    <row r="669" spans="1:65" x14ac:dyDescent="0.15">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c r="AM669" s="39"/>
      <c r="AN669" s="39"/>
      <c r="AO669" s="39"/>
      <c r="AP669" s="39"/>
      <c r="AQ669" s="39"/>
      <c r="AR669" s="39"/>
      <c r="AS669" s="39"/>
      <c r="AT669" s="39"/>
      <c r="AU669" s="39"/>
      <c r="AV669" s="39"/>
      <c r="AW669" s="39"/>
      <c r="AX669" s="39"/>
      <c r="AY669" s="39"/>
      <c r="AZ669" s="39"/>
      <c r="BA669" s="39"/>
      <c r="BB669" s="39"/>
      <c r="BC669" s="39"/>
      <c r="BD669" s="39"/>
      <c r="BE669" s="39"/>
      <c r="BF669" s="39"/>
      <c r="BG669" s="39"/>
      <c r="BH669" s="39"/>
      <c r="BI669" s="39"/>
      <c r="BJ669" s="39"/>
      <c r="BK669" s="39"/>
      <c r="BL669" s="39"/>
      <c r="BM669" s="39"/>
    </row>
    <row r="670" spans="1:65" x14ac:dyDescent="0.15">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c r="AM670" s="39"/>
      <c r="AN670" s="39"/>
      <c r="AO670" s="39"/>
      <c r="AP670" s="39"/>
      <c r="AQ670" s="39"/>
      <c r="AR670" s="39"/>
      <c r="AS670" s="39"/>
      <c r="AT670" s="39"/>
      <c r="AU670" s="39"/>
      <c r="AV670" s="39"/>
      <c r="AW670" s="39"/>
      <c r="AX670" s="39"/>
      <c r="AY670" s="39"/>
      <c r="AZ670" s="39"/>
      <c r="BA670" s="39"/>
      <c r="BB670" s="39"/>
      <c r="BC670" s="39"/>
      <c r="BD670" s="39"/>
      <c r="BE670" s="39"/>
      <c r="BF670" s="39"/>
      <c r="BG670" s="39"/>
      <c r="BH670" s="39"/>
      <c r="BI670" s="39"/>
      <c r="BJ670" s="39"/>
      <c r="BK670" s="39"/>
      <c r="BL670" s="39"/>
      <c r="BM670" s="39"/>
    </row>
    <row r="671" spans="1:65" x14ac:dyDescent="0.15">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c r="AM671" s="39"/>
      <c r="AN671" s="39"/>
      <c r="AO671" s="39"/>
      <c r="AP671" s="39"/>
      <c r="AQ671" s="39"/>
      <c r="AR671" s="39"/>
      <c r="AS671" s="39"/>
      <c r="AT671" s="39"/>
      <c r="AU671" s="39"/>
      <c r="AV671" s="39"/>
      <c r="AW671" s="39"/>
      <c r="AX671" s="39"/>
      <c r="AY671" s="39"/>
      <c r="AZ671" s="39"/>
      <c r="BA671" s="39"/>
      <c r="BB671" s="39"/>
      <c r="BC671" s="39"/>
      <c r="BD671" s="39"/>
      <c r="BE671" s="39"/>
      <c r="BF671" s="39"/>
      <c r="BG671" s="39"/>
      <c r="BH671" s="39"/>
      <c r="BI671" s="39"/>
      <c r="BJ671" s="39"/>
      <c r="BK671" s="39"/>
      <c r="BL671" s="39"/>
      <c r="BM671" s="39"/>
    </row>
    <row r="672" spans="1:65" x14ac:dyDescent="0.15">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c r="AM672" s="39"/>
      <c r="AN672" s="39"/>
      <c r="AO672" s="39"/>
      <c r="AP672" s="39"/>
      <c r="AQ672" s="39"/>
      <c r="AR672" s="39"/>
      <c r="AS672" s="39"/>
      <c r="AT672" s="39"/>
      <c r="AU672" s="39"/>
      <c r="AV672" s="39"/>
      <c r="AW672" s="39"/>
      <c r="AX672" s="39"/>
      <c r="AY672" s="39"/>
      <c r="AZ672" s="39"/>
      <c r="BA672" s="39"/>
      <c r="BB672" s="39"/>
      <c r="BC672" s="39"/>
      <c r="BD672" s="39"/>
      <c r="BE672" s="39"/>
      <c r="BF672" s="39"/>
      <c r="BG672" s="39"/>
      <c r="BH672" s="39"/>
      <c r="BI672" s="39"/>
      <c r="BJ672" s="39"/>
      <c r="BK672" s="39"/>
      <c r="BL672" s="39"/>
      <c r="BM672" s="39"/>
    </row>
    <row r="673" spans="1:65" x14ac:dyDescent="0.15">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c r="AM673" s="39"/>
      <c r="AN673" s="39"/>
      <c r="AO673" s="39"/>
      <c r="AP673" s="39"/>
      <c r="AQ673" s="39"/>
      <c r="AR673" s="39"/>
      <c r="AS673" s="39"/>
      <c r="AT673" s="39"/>
      <c r="AU673" s="39"/>
      <c r="AV673" s="39"/>
      <c r="AW673" s="39"/>
      <c r="AX673" s="39"/>
      <c r="AY673" s="39"/>
      <c r="AZ673" s="39"/>
      <c r="BA673" s="39"/>
      <c r="BB673" s="39"/>
      <c r="BC673" s="39"/>
      <c r="BD673" s="39"/>
      <c r="BE673" s="39"/>
      <c r="BF673" s="39"/>
      <c r="BG673" s="39"/>
      <c r="BH673" s="39"/>
      <c r="BI673" s="39"/>
      <c r="BJ673" s="39"/>
      <c r="BK673" s="39"/>
      <c r="BL673" s="39"/>
      <c r="BM673" s="39"/>
    </row>
    <row r="674" spans="1:65" x14ac:dyDescent="0.15">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c r="AM674" s="39"/>
      <c r="AN674" s="39"/>
      <c r="AO674" s="39"/>
      <c r="AP674" s="39"/>
      <c r="AQ674" s="39"/>
      <c r="AR674" s="39"/>
      <c r="AS674" s="39"/>
      <c r="AT674" s="39"/>
      <c r="AU674" s="39"/>
      <c r="AV674" s="39"/>
      <c r="AW674" s="39"/>
      <c r="AX674" s="39"/>
      <c r="AY674" s="39"/>
      <c r="AZ674" s="39"/>
      <c r="BA674" s="39"/>
      <c r="BB674" s="39"/>
      <c r="BC674" s="39"/>
      <c r="BD674" s="39"/>
      <c r="BE674" s="39"/>
      <c r="BF674" s="39"/>
      <c r="BG674" s="39"/>
      <c r="BH674" s="39"/>
      <c r="BI674" s="39"/>
      <c r="BJ674" s="39"/>
      <c r="BK674" s="39"/>
      <c r="BL674" s="39"/>
      <c r="BM674" s="39"/>
    </row>
    <row r="675" spans="1:65" x14ac:dyDescent="0.1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c r="AM675" s="39"/>
      <c r="AN675" s="39"/>
      <c r="AO675" s="39"/>
      <c r="AP675" s="39"/>
      <c r="AQ675" s="39"/>
      <c r="AR675" s="39"/>
      <c r="AS675" s="39"/>
      <c r="AT675" s="39"/>
      <c r="AU675" s="39"/>
      <c r="AV675" s="39"/>
      <c r="AW675" s="39"/>
      <c r="AX675" s="39"/>
      <c r="AY675" s="39"/>
      <c r="AZ675" s="39"/>
      <c r="BA675" s="39"/>
      <c r="BB675" s="39"/>
      <c r="BC675" s="39"/>
      <c r="BD675" s="39"/>
      <c r="BE675" s="39"/>
      <c r="BF675" s="39"/>
      <c r="BG675" s="39"/>
      <c r="BH675" s="39"/>
      <c r="BI675" s="39"/>
      <c r="BJ675" s="39"/>
      <c r="BK675" s="39"/>
      <c r="BL675" s="39"/>
      <c r="BM675" s="39"/>
    </row>
    <row r="676" spans="1:65" x14ac:dyDescent="0.15">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c r="AM676" s="39"/>
      <c r="AN676" s="39"/>
      <c r="AO676" s="39"/>
      <c r="AP676" s="39"/>
      <c r="AQ676" s="39"/>
      <c r="AR676" s="39"/>
      <c r="AS676" s="39"/>
      <c r="AT676" s="39"/>
      <c r="AU676" s="39"/>
      <c r="AV676" s="39"/>
      <c r="AW676" s="39"/>
      <c r="AX676" s="39"/>
      <c r="AY676" s="39"/>
      <c r="AZ676" s="39"/>
      <c r="BA676" s="39"/>
      <c r="BB676" s="39"/>
      <c r="BC676" s="39"/>
      <c r="BD676" s="39"/>
      <c r="BE676" s="39"/>
      <c r="BF676" s="39"/>
      <c r="BG676" s="39"/>
      <c r="BH676" s="39"/>
      <c r="BI676" s="39"/>
      <c r="BJ676" s="39"/>
      <c r="BK676" s="39"/>
      <c r="BL676" s="39"/>
      <c r="BM676" s="39"/>
    </row>
    <row r="677" spans="1:65" x14ac:dyDescent="0.15">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c r="AP677" s="39"/>
      <c r="AQ677" s="39"/>
      <c r="AR677" s="39"/>
      <c r="AS677" s="39"/>
      <c r="AT677" s="39"/>
      <c r="AU677" s="39"/>
      <c r="AV677" s="39"/>
      <c r="AW677" s="39"/>
      <c r="AX677" s="39"/>
      <c r="AY677" s="39"/>
      <c r="AZ677" s="39"/>
      <c r="BA677" s="39"/>
      <c r="BB677" s="39"/>
      <c r="BC677" s="39"/>
      <c r="BD677" s="39"/>
      <c r="BE677" s="39"/>
      <c r="BF677" s="39"/>
      <c r="BG677" s="39"/>
      <c r="BH677" s="39"/>
      <c r="BI677" s="39"/>
      <c r="BJ677" s="39"/>
      <c r="BK677" s="39"/>
      <c r="BL677" s="39"/>
      <c r="BM677" s="39"/>
    </row>
    <row r="678" spans="1:65" x14ac:dyDescent="0.15">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c r="AM678" s="39"/>
      <c r="AN678" s="39"/>
      <c r="AO678" s="39"/>
      <c r="AP678" s="39"/>
      <c r="AQ678" s="39"/>
      <c r="AR678" s="39"/>
      <c r="AS678" s="39"/>
      <c r="AT678" s="39"/>
      <c r="AU678" s="39"/>
      <c r="AV678" s="39"/>
      <c r="AW678" s="39"/>
      <c r="AX678" s="39"/>
      <c r="AY678" s="39"/>
      <c r="AZ678" s="39"/>
      <c r="BA678" s="39"/>
      <c r="BB678" s="39"/>
      <c r="BC678" s="39"/>
      <c r="BD678" s="39"/>
      <c r="BE678" s="39"/>
      <c r="BF678" s="39"/>
      <c r="BG678" s="39"/>
      <c r="BH678" s="39"/>
      <c r="BI678" s="39"/>
      <c r="BJ678" s="39"/>
      <c r="BK678" s="39"/>
      <c r="BL678" s="39"/>
      <c r="BM678" s="39"/>
    </row>
    <row r="679" spans="1:65" x14ac:dyDescent="0.15">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c r="BA679" s="39"/>
      <c r="BB679" s="39"/>
      <c r="BC679" s="39"/>
      <c r="BD679" s="39"/>
      <c r="BE679" s="39"/>
      <c r="BF679" s="39"/>
      <c r="BG679" s="39"/>
      <c r="BH679" s="39"/>
      <c r="BI679" s="39"/>
      <c r="BJ679" s="39"/>
      <c r="BK679" s="39"/>
      <c r="BL679" s="39"/>
      <c r="BM679" s="39"/>
    </row>
    <row r="680" spans="1:65" x14ac:dyDescent="0.15">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c r="AM680" s="39"/>
      <c r="AN680" s="39"/>
      <c r="AO680" s="39"/>
      <c r="AP680" s="39"/>
      <c r="AQ680" s="39"/>
      <c r="AR680" s="39"/>
      <c r="AS680" s="39"/>
      <c r="AT680" s="39"/>
      <c r="AU680" s="39"/>
      <c r="AV680" s="39"/>
      <c r="AW680" s="39"/>
      <c r="AX680" s="39"/>
      <c r="AY680" s="39"/>
      <c r="AZ680" s="39"/>
      <c r="BA680" s="39"/>
      <c r="BB680" s="39"/>
      <c r="BC680" s="39"/>
      <c r="BD680" s="39"/>
      <c r="BE680" s="39"/>
      <c r="BF680" s="39"/>
      <c r="BG680" s="39"/>
      <c r="BH680" s="39"/>
      <c r="BI680" s="39"/>
      <c r="BJ680" s="39"/>
      <c r="BK680" s="39"/>
      <c r="BL680" s="39"/>
      <c r="BM680" s="39"/>
    </row>
    <row r="681" spans="1:65" x14ac:dyDescent="0.15">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c r="AM681" s="39"/>
      <c r="AN681" s="39"/>
      <c r="AO681" s="39"/>
      <c r="AP681" s="39"/>
      <c r="AQ681" s="39"/>
      <c r="AR681" s="39"/>
      <c r="AS681" s="39"/>
      <c r="AT681" s="39"/>
      <c r="AU681" s="39"/>
      <c r="AV681" s="39"/>
      <c r="AW681" s="39"/>
      <c r="AX681" s="39"/>
      <c r="AY681" s="39"/>
      <c r="AZ681" s="39"/>
      <c r="BA681" s="39"/>
      <c r="BB681" s="39"/>
      <c r="BC681" s="39"/>
      <c r="BD681" s="39"/>
      <c r="BE681" s="39"/>
      <c r="BF681" s="39"/>
      <c r="BG681" s="39"/>
      <c r="BH681" s="39"/>
      <c r="BI681" s="39"/>
      <c r="BJ681" s="39"/>
      <c r="BK681" s="39"/>
      <c r="BL681" s="39"/>
      <c r="BM681" s="39"/>
    </row>
    <row r="682" spans="1:65" x14ac:dyDescent="0.15">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c r="AM682" s="39"/>
      <c r="AN682" s="39"/>
      <c r="AO682" s="39"/>
      <c r="AP682" s="39"/>
      <c r="AQ682" s="39"/>
      <c r="AR682" s="39"/>
      <c r="AS682" s="39"/>
      <c r="AT682" s="39"/>
      <c r="AU682" s="39"/>
      <c r="AV682" s="39"/>
      <c r="AW682" s="39"/>
      <c r="AX682" s="39"/>
      <c r="AY682" s="39"/>
      <c r="AZ682" s="39"/>
      <c r="BA682" s="39"/>
      <c r="BB682" s="39"/>
      <c r="BC682" s="39"/>
      <c r="BD682" s="39"/>
      <c r="BE682" s="39"/>
      <c r="BF682" s="39"/>
      <c r="BG682" s="39"/>
      <c r="BH682" s="39"/>
      <c r="BI682" s="39"/>
      <c r="BJ682" s="39"/>
      <c r="BK682" s="39"/>
      <c r="BL682" s="39"/>
      <c r="BM682" s="39"/>
    </row>
    <row r="683" spans="1:65" x14ac:dyDescent="0.15">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c r="AM683" s="39"/>
      <c r="AN683" s="39"/>
      <c r="AO683" s="39"/>
      <c r="AP683" s="39"/>
      <c r="AQ683" s="39"/>
      <c r="AR683" s="39"/>
      <c r="AS683" s="39"/>
      <c r="AT683" s="39"/>
      <c r="AU683" s="39"/>
      <c r="AV683" s="39"/>
      <c r="AW683" s="39"/>
      <c r="AX683" s="39"/>
      <c r="AY683" s="39"/>
      <c r="AZ683" s="39"/>
      <c r="BA683" s="39"/>
      <c r="BB683" s="39"/>
      <c r="BC683" s="39"/>
      <c r="BD683" s="39"/>
      <c r="BE683" s="39"/>
      <c r="BF683" s="39"/>
      <c r="BG683" s="39"/>
      <c r="BH683" s="39"/>
      <c r="BI683" s="39"/>
      <c r="BJ683" s="39"/>
      <c r="BK683" s="39"/>
      <c r="BL683" s="39"/>
      <c r="BM683" s="39"/>
    </row>
    <row r="684" spans="1:65" x14ac:dyDescent="0.15">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B684" s="39"/>
      <c r="BC684" s="39"/>
      <c r="BD684" s="39"/>
      <c r="BE684" s="39"/>
      <c r="BF684" s="39"/>
      <c r="BG684" s="39"/>
      <c r="BH684" s="39"/>
      <c r="BI684" s="39"/>
      <c r="BJ684" s="39"/>
      <c r="BK684" s="39"/>
      <c r="BL684" s="39"/>
      <c r="BM684" s="39"/>
    </row>
    <row r="685" spans="1:65" x14ac:dyDescent="0.1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c r="AM685" s="39"/>
      <c r="AN685" s="39"/>
      <c r="AO685" s="39"/>
      <c r="AP685" s="39"/>
      <c r="AQ685" s="39"/>
      <c r="AR685" s="39"/>
      <c r="AS685" s="39"/>
      <c r="AT685" s="39"/>
      <c r="AU685" s="39"/>
      <c r="AV685" s="39"/>
      <c r="AW685" s="39"/>
      <c r="AX685" s="39"/>
      <c r="AY685" s="39"/>
      <c r="AZ685" s="39"/>
      <c r="BA685" s="39"/>
      <c r="BB685" s="39"/>
      <c r="BC685" s="39"/>
      <c r="BD685" s="39"/>
      <c r="BE685" s="39"/>
      <c r="BF685" s="39"/>
      <c r="BG685" s="39"/>
      <c r="BH685" s="39"/>
      <c r="BI685" s="39"/>
      <c r="BJ685" s="39"/>
      <c r="BK685" s="39"/>
      <c r="BL685" s="39"/>
      <c r="BM685" s="39"/>
    </row>
    <row r="686" spans="1:65" x14ac:dyDescent="0.15">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c r="AM686" s="39"/>
      <c r="AN686" s="39"/>
      <c r="AO686" s="39"/>
      <c r="AP686" s="39"/>
      <c r="AQ686" s="39"/>
      <c r="AR686" s="39"/>
      <c r="AS686" s="39"/>
      <c r="AT686" s="39"/>
      <c r="AU686" s="39"/>
      <c r="AV686" s="39"/>
      <c r="AW686" s="39"/>
      <c r="AX686" s="39"/>
      <c r="AY686" s="39"/>
      <c r="AZ686" s="39"/>
      <c r="BA686" s="39"/>
      <c r="BB686" s="39"/>
      <c r="BC686" s="39"/>
      <c r="BD686" s="39"/>
      <c r="BE686" s="39"/>
      <c r="BF686" s="39"/>
      <c r="BG686" s="39"/>
      <c r="BH686" s="39"/>
      <c r="BI686" s="39"/>
      <c r="BJ686" s="39"/>
      <c r="BK686" s="39"/>
      <c r="BL686" s="39"/>
      <c r="BM686" s="39"/>
    </row>
    <row r="687" spans="1:65" x14ac:dyDescent="0.15">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c r="AN687" s="39"/>
      <c r="AO687" s="39"/>
      <c r="AP687" s="39"/>
      <c r="AQ687" s="39"/>
      <c r="AR687" s="39"/>
      <c r="AS687" s="39"/>
      <c r="AT687" s="39"/>
      <c r="AU687" s="39"/>
      <c r="AV687" s="39"/>
      <c r="AW687" s="39"/>
      <c r="AX687" s="39"/>
      <c r="AY687" s="39"/>
      <c r="AZ687" s="39"/>
      <c r="BA687" s="39"/>
      <c r="BB687" s="39"/>
      <c r="BC687" s="39"/>
      <c r="BD687" s="39"/>
      <c r="BE687" s="39"/>
      <c r="BF687" s="39"/>
      <c r="BG687" s="39"/>
      <c r="BH687" s="39"/>
      <c r="BI687" s="39"/>
      <c r="BJ687" s="39"/>
      <c r="BK687" s="39"/>
      <c r="BL687" s="39"/>
      <c r="BM687" s="39"/>
    </row>
    <row r="688" spans="1:65" x14ac:dyDescent="0.15">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c r="BA688" s="39"/>
      <c r="BB688" s="39"/>
      <c r="BC688" s="39"/>
      <c r="BD688" s="39"/>
      <c r="BE688" s="39"/>
      <c r="BF688" s="39"/>
      <c r="BG688" s="39"/>
      <c r="BH688" s="39"/>
      <c r="BI688" s="39"/>
      <c r="BJ688" s="39"/>
      <c r="BK688" s="39"/>
      <c r="BL688" s="39"/>
      <c r="BM688" s="39"/>
    </row>
    <row r="689" spans="1:65" x14ac:dyDescent="0.15">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c r="AM689" s="39"/>
      <c r="AN689" s="39"/>
      <c r="AO689" s="39"/>
      <c r="AP689" s="39"/>
      <c r="AQ689" s="39"/>
      <c r="AR689" s="39"/>
      <c r="AS689" s="39"/>
      <c r="AT689" s="39"/>
      <c r="AU689" s="39"/>
      <c r="AV689" s="39"/>
      <c r="AW689" s="39"/>
      <c r="AX689" s="39"/>
      <c r="AY689" s="39"/>
      <c r="AZ689" s="39"/>
      <c r="BA689" s="39"/>
      <c r="BB689" s="39"/>
      <c r="BC689" s="39"/>
      <c r="BD689" s="39"/>
      <c r="BE689" s="39"/>
      <c r="BF689" s="39"/>
      <c r="BG689" s="39"/>
      <c r="BH689" s="39"/>
      <c r="BI689" s="39"/>
      <c r="BJ689" s="39"/>
      <c r="BK689" s="39"/>
      <c r="BL689" s="39"/>
      <c r="BM689" s="39"/>
    </row>
    <row r="690" spans="1:65" x14ac:dyDescent="0.15">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c r="AM690" s="39"/>
      <c r="AN690" s="39"/>
      <c r="AO690" s="39"/>
      <c r="AP690" s="39"/>
      <c r="AQ690" s="39"/>
      <c r="AR690" s="39"/>
      <c r="AS690" s="39"/>
      <c r="AT690" s="39"/>
      <c r="AU690" s="39"/>
      <c r="AV690" s="39"/>
      <c r="AW690" s="39"/>
      <c r="AX690" s="39"/>
      <c r="AY690" s="39"/>
      <c r="AZ690" s="39"/>
      <c r="BA690" s="39"/>
      <c r="BB690" s="39"/>
      <c r="BC690" s="39"/>
      <c r="BD690" s="39"/>
      <c r="BE690" s="39"/>
      <c r="BF690" s="39"/>
      <c r="BG690" s="39"/>
      <c r="BH690" s="39"/>
      <c r="BI690" s="39"/>
      <c r="BJ690" s="39"/>
      <c r="BK690" s="39"/>
      <c r="BL690" s="39"/>
      <c r="BM690" s="39"/>
    </row>
    <row r="691" spans="1:65" x14ac:dyDescent="0.15">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c r="AM691" s="39"/>
      <c r="AN691" s="39"/>
      <c r="AO691" s="39"/>
      <c r="AP691" s="39"/>
      <c r="AQ691" s="39"/>
      <c r="AR691" s="39"/>
      <c r="AS691" s="39"/>
      <c r="AT691" s="39"/>
      <c r="AU691" s="39"/>
      <c r="AV691" s="39"/>
      <c r="AW691" s="39"/>
      <c r="AX691" s="39"/>
      <c r="AY691" s="39"/>
      <c r="AZ691" s="39"/>
      <c r="BA691" s="39"/>
      <c r="BB691" s="39"/>
      <c r="BC691" s="39"/>
      <c r="BD691" s="39"/>
      <c r="BE691" s="39"/>
      <c r="BF691" s="39"/>
      <c r="BG691" s="39"/>
      <c r="BH691" s="39"/>
      <c r="BI691" s="39"/>
      <c r="BJ691" s="39"/>
      <c r="BK691" s="39"/>
      <c r="BL691" s="39"/>
      <c r="BM691" s="39"/>
    </row>
    <row r="692" spans="1:65" x14ac:dyDescent="0.15">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c r="AM692" s="39"/>
      <c r="AN692" s="39"/>
      <c r="AO692" s="39"/>
      <c r="AP692" s="39"/>
      <c r="AQ692" s="39"/>
      <c r="AR692" s="39"/>
      <c r="AS692" s="39"/>
      <c r="AT692" s="39"/>
      <c r="AU692" s="39"/>
      <c r="AV692" s="39"/>
      <c r="AW692" s="39"/>
      <c r="AX692" s="39"/>
      <c r="AY692" s="39"/>
      <c r="AZ692" s="39"/>
      <c r="BA692" s="39"/>
      <c r="BB692" s="39"/>
      <c r="BC692" s="39"/>
      <c r="BD692" s="39"/>
      <c r="BE692" s="39"/>
      <c r="BF692" s="39"/>
      <c r="BG692" s="39"/>
      <c r="BH692" s="39"/>
      <c r="BI692" s="39"/>
      <c r="BJ692" s="39"/>
      <c r="BK692" s="39"/>
      <c r="BL692" s="39"/>
      <c r="BM692" s="39"/>
    </row>
    <row r="693" spans="1:65" x14ac:dyDescent="0.15">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c r="BA693" s="39"/>
      <c r="BB693" s="39"/>
      <c r="BC693" s="39"/>
      <c r="BD693" s="39"/>
      <c r="BE693" s="39"/>
      <c r="BF693" s="39"/>
      <c r="BG693" s="39"/>
      <c r="BH693" s="39"/>
      <c r="BI693" s="39"/>
      <c r="BJ693" s="39"/>
      <c r="BK693" s="39"/>
      <c r="BL693" s="39"/>
      <c r="BM693" s="39"/>
    </row>
    <row r="694" spans="1:65" x14ac:dyDescent="0.15">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c r="AP694" s="39"/>
      <c r="AQ694" s="39"/>
      <c r="AR694" s="39"/>
      <c r="AS694" s="39"/>
      <c r="AT694" s="39"/>
      <c r="AU694" s="39"/>
      <c r="AV694" s="39"/>
      <c r="AW694" s="39"/>
      <c r="AX694" s="39"/>
      <c r="AY694" s="39"/>
      <c r="AZ694" s="39"/>
      <c r="BA694" s="39"/>
      <c r="BB694" s="39"/>
      <c r="BC694" s="39"/>
      <c r="BD694" s="39"/>
      <c r="BE694" s="39"/>
      <c r="BF694" s="39"/>
      <c r="BG694" s="39"/>
      <c r="BH694" s="39"/>
      <c r="BI694" s="39"/>
      <c r="BJ694" s="39"/>
      <c r="BK694" s="39"/>
      <c r="BL694" s="39"/>
      <c r="BM694" s="39"/>
    </row>
    <row r="695" spans="1:65" x14ac:dyDescent="0.1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c r="AM695" s="39"/>
      <c r="AN695" s="39"/>
      <c r="AO695" s="39"/>
      <c r="AP695" s="39"/>
      <c r="AQ695" s="39"/>
      <c r="AR695" s="39"/>
      <c r="AS695" s="39"/>
      <c r="AT695" s="39"/>
      <c r="AU695" s="39"/>
      <c r="AV695" s="39"/>
      <c r="AW695" s="39"/>
      <c r="AX695" s="39"/>
      <c r="AY695" s="39"/>
      <c r="AZ695" s="39"/>
      <c r="BA695" s="39"/>
      <c r="BB695" s="39"/>
      <c r="BC695" s="39"/>
      <c r="BD695" s="39"/>
      <c r="BE695" s="39"/>
      <c r="BF695" s="39"/>
      <c r="BG695" s="39"/>
      <c r="BH695" s="39"/>
      <c r="BI695" s="39"/>
      <c r="BJ695" s="39"/>
      <c r="BK695" s="39"/>
      <c r="BL695" s="39"/>
      <c r="BM695" s="39"/>
    </row>
    <row r="696" spans="1:65" x14ac:dyDescent="0.15">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c r="AM696" s="39"/>
      <c r="AN696" s="39"/>
      <c r="AO696" s="39"/>
      <c r="AP696" s="39"/>
      <c r="AQ696" s="39"/>
      <c r="AR696" s="39"/>
      <c r="AS696" s="39"/>
      <c r="AT696" s="39"/>
      <c r="AU696" s="39"/>
      <c r="AV696" s="39"/>
      <c r="AW696" s="39"/>
      <c r="AX696" s="39"/>
      <c r="AY696" s="39"/>
      <c r="AZ696" s="39"/>
      <c r="BA696" s="39"/>
      <c r="BB696" s="39"/>
      <c r="BC696" s="39"/>
      <c r="BD696" s="39"/>
      <c r="BE696" s="39"/>
      <c r="BF696" s="39"/>
      <c r="BG696" s="39"/>
      <c r="BH696" s="39"/>
      <c r="BI696" s="39"/>
      <c r="BJ696" s="39"/>
      <c r="BK696" s="39"/>
      <c r="BL696" s="39"/>
      <c r="BM696" s="39"/>
    </row>
    <row r="697" spans="1:65" x14ac:dyDescent="0.15">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c r="AM697" s="39"/>
      <c r="AN697" s="39"/>
      <c r="AO697" s="39"/>
      <c r="AP697" s="39"/>
      <c r="AQ697" s="39"/>
      <c r="AR697" s="39"/>
      <c r="AS697" s="39"/>
      <c r="AT697" s="39"/>
      <c r="AU697" s="39"/>
      <c r="AV697" s="39"/>
      <c r="AW697" s="39"/>
      <c r="AX697" s="39"/>
      <c r="AY697" s="39"/>
      <c r="AZ697" s="39"/>
      <c r="BA697" s="39"/>
      <c r="BB697" s="39"/>
      <c r="BC697" s="39"/>
      <c r="BD697" s="39"/>
      <c r="BE697" s="39"/>
      <c r="BF697" s="39"/>
      <c r="BG697" s="39"/>
      <c r="BH697" s="39"/>
      <c r="BI697" s="39"/>
      <c r="BJ697" s="39"/>
      <c r="BK697" s="39"/>
      <c r="BL697" s="39"/>
      <c r="BM697" s="39"/>
    </row>
    <row r="698" spans="1:65" x14ac:dyDescent="0.15">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c r="BA698" s="39"/>
      <c r="BB698" s="39"/>
      <c r="BC698" s="39"/>
      <c r="BD698" s="39"/>
      <c r="BE698" s="39"/>
      <c r="BF698" s="39"/>
      <c r="BG698" s="39"/>
      <c r="BH698" s="39"/>
      <c r="BI698" s="39"/>
      <c r="BJ698" s="39"/>
      <c r="BK698" s="39"/>
      <c r="BL698" s="39"/>
      <c r="BM698" s="39"/>
    </row>
    <row r="699" spans="1:65" x14ac:dyDescent="0.15">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c r="AP699" s="39"/>
      <c r="AQ699" s="39"/>
      <c r="AR699" s="39"/>
      <c r="AS699" s="39"/>
      <c r="AT699" s="39"/>
      <c r="AU699" s="39"/>
      <c r="AV699" s="39"/>
      <c r="AW699" s="39"/>
      <c r="AX699" s="39"/>
      <c r="AY699" s="39"/>
      <c r="AZ699" s="39"/>
      <c r="BA699" s="39"/>
      <c r="BB699" s="39"/>
      <c r="BC699" s="39"/>
      <c r="BD699" s="39"/>
      <c r="BE699" s="39"/>
      <c r="BF699" s="39"/>
      <c r="BG699" s="39"/>
      <c r="BH699" s="39"/>
      <c r="BI699" s="39"/>
      <c r="BJ699" s="39"/>
      <c r="BK699" s="39"/>
      <c r="BL699" s="39"/>
      <c r="BM699" s="39"/>
    </row>
    <row r="700" spans="1:65" x14ac:dyDescent="0.15">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c r="AM700" s="39"/>
      <c r="AN700" s="39"/>
      <c r="AO700" s="39"/>
      <c r="AP700" s="39"/>
      <c r="AQ700" s="39"/>
      <c r="AR700" s="39"/>
      <c r="AS700" s="39"/>
      <c r="AT700" s="39"/>
      <c r="AU700" s="39"/>
      <c r="AV700" s="39"/>
      <c r="AW700" s="39"/>
      <c r="AX700" s="39"/>
      <c r="AY700" s="39"/>
      <c r="AZ700" s="39"/>
      <c r="BA700" s="39"/>
      <c r="BB700" s="39"/>
      <c r="BC700" s="39"/>
      <c r="BD700" s="39"/>
      <c r="BE700" s="39"/>
      <c r="BF700" s="39"/>
      <c r="BG700" s="39"/>
      <c r="BH700" s="39"/>
      <c r="BI700" s="39"/>
      <c r="BJ700" s="39"/>
      <c r="BK700" s="39"/>
      <c r="BL700" s="39"/>
      <c r="BM700" s="39"/>
    </row>
    <row r="701" spans="1:65" x14ac:dyDescent="0.15">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c r="AM701" s="39"/>
      <c r="AN701" s="39"/>
      <c r="AO701" s="39"/>
      <c r="AP701" s="39"/>
      <c r="AQ701" s="39"/>
      <c r="AR701" s="39"/>
      <c r="AS701" s="39"/>
      <c r="AT701" s="39"/>
      <c r="AU701" s="39"/>
      <c r="AV701" s="39"/>
      <c r="AW701" s="39"/>
      <c r="AX701" s="39"/>
      <c r="AY701" s="39"/>
      <c r="AZ701" s="39"/>
      <c r="BA701" s="39"/>
      <c r="BB701" s="39"/>
      <c r="BC701" s="39"/>
      <c r="BD701" s="39"/>
      <c r="BE701" s="39"/>
      <c r="BF701" s="39"/>
      <c r="BG701" s="39"/>
      <c r="BH701" s="39"/>
      <c r="BI701" s="39"/>
      <c r="BJ701" s="39"/>
      <c r="BK701" s="39"/>
      <c r="BL701" s="39"/>
      <c r="BM701" s="39"/>
    </row>
    <row r="702" spans="1:65" x14ac:dyDescent="0.15">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c r="AM702" s="39"/>
      <c r="AN702" s="39"/>
      <c r="AO702" s="39"/>
      <c r="AP702" s="39"/>
      <c r="AQ702" s="39"/>
      <c r="AR702" s="39"/>
      <c r="AS702" s="39"/>
      <c r="AT702" s="39"/>
      <c r="AU702" s="39"/>
      <c r="AV702" s="39"/>
      <c r="AW702" s="39"/>
      <c r="AX702" s="39"/>
      <c r="AY702" s="39"/>
      <c r="AZ702" s="39"/>
      <c r="BA702" s="39"/>
      <c r="BB702" s="39"/>
      <c r="BC702" s="39"/>
      <c r="BD702" s="39"/>
      <c r="BE702" s="39"/>
      <c r="BF702" s="39"/>
      <c r="BG702" s="39"/>
      <c r="BH702" s="39"/>
      <c r="BI702" s="39"/>
      <c r="BJ702" s="39"/>
      <c r="BK702" s="39"/>
      <c r="BL702" s="39"/>
      <c r="BM702" s="39"/>
    </row>
    <row r="703" spans="1:65" x14ac:dyDescent="0.15">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c r="AP703" s="39"/>
      <c r="AQ703" s="39"/>
      <c r="AR703" s="39"/>
      <c r="AS703" s="39"/>
      <c r="AT703" s="39"/>
      <c r="AU703" s="39"/>
      <c r="AV703" s="39"/>
      <c r="AW703" s="39"/>
      <c r="AX703" s="39"/>
      <c r="AY703" s="39"/>
      <c r="AZ703" s="39"/>
      <c r="BA703" s="39"/>
      <c r="BB703" s="39"/>
      <c r="BC703" s="39"/>
      <c r="BD703" s="39"/>
      <c r="BE703" s="39"/>
      <c r="BF703" s="39"/>
      <c r="BG703" s="39"/>
      <c r="BH703" s="39"/>
      <c r="BI703" s="39"/>
      <c r="BJ703" s="39"/>
      <c r="BK703" s="39"/>
      <c r="BL703" s="39"/>
      <c r="BM703" s="39"/>
    </row>
    <row r="704" spans="1:65" x14ac:dyDescent="0.15">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c r="AM704" s="39"/>
      <c r="AN704" s="39"/>
      <c r="AO704" s="39"/>
      <c r="AP704" s="39"/>
      <c r="AQ704" s="39"/>
      <c r="AR704" s="39"/>
      <c r="AS704" s="39"/>
      <c r="AT704" s="39"/>
      <c r="AU704" s="39"/>
      <c r="AV704" s="39"/>
      <c r="AW704" s="39"/>
      <c r="AX704" s="39"/>
      <c r="AY704" s="39"/>
      <c r="AZ704" s="39"/>
      <c r="BA704" s="39"/>
      <c r="BB704" s="39"/>
      <c r="BC704" s="39"/>
      <c r="BD704" s="39"/>
      <c r="BE704" s="39"/>
      <c r="BF704" s="39"/>
      <c r="BG704" s="39"/>
      <c r="BH704" s="39"/>
      <c r="BI704" s="39"/>
      <c r="BJ704" s="39"/>
      <c r="BK704" s="39"/>
      <c r="BL704" s="39"/>
      <c r="BM704" s="39"/>
    </row>
    <row r="705" spans="1:65" x14ac:dyDescent="0.1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c r="AM705" s="39"/>
      <c r="AN705" s="39"/>
      <c r="AO705" s="39"/>
      <c r="AP705" s="39"/>
      <c r="AQ705" s="39"/>
      <c r="AR705" s="39"/>
      <c r="AS705" s="39"/>
      <c r="AT705" s="39"/>
      <c r="AU705" s="39"/>
      <c r="AV705" s="39"/>
      <c r="AW705" s="39"/>
      <c r="AX705" s="39"/>
      <c r="AY705" s="39"/>
      <c r="AZ705" s="39"/>
      <c r="BA705" s="39"/>
      <c r="BB705" s="39"/>
      <c r="BC705" s="39"/>
      <c r="BD705" s="39"/>
      <c r="BE705" s="39"/>
      <c r="BF705" s="39"/>
      <c r="BG705" s="39"/>
      <c r="BH705" s="39"/>
      <c r="BI705" s="39"/>
      <c r="BJ705" s="39"/>
      <c r="BK705" s="39"/>
      <c r="BL705" s="39"/>
      <c r="BM705" s="39"/>
    </row>
    <row r="706" spans="1:65" x14ac:dyDescent="0.15">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c r="AM706" s="39"/>
      <c r="AN706" s="39"/>
      <c r="AO706" s="39"/>
      <c r="AP706" s="39"/>
      <c r="AQ706" s="39"/>
      <c r="AR706" s="39"/>
      <c r="AS706" s="39"/>
      <c r="AT706" s="39"/>
      <c r="AU706" s="39"/>
      <c r="AV706" s="39"/>
      <c r="AW706" s="39"/>
      <c r="AX706" s="39"/>
      <c r="AY706" s="39"/>
      <c r="AZ706" s="39"/>
      <c r="BA706" s="39"/>
      <c r="BB706" s="39"/>
      <c r="BC706" s="39"/>
      <c r="BD706" s="39"/>
      <c r="BE706" s="39"/>
      <c r="BF706" s="39"/>
      <c r="BG706" s="39"/>
      <c r="BH706" s="39"/>
      <c r="BI706" s="39"/>
      <c r="BJ706" s="39"/>
      <c r="BK706" s="39"/>
      <c r="BL706" s="39"/>
      <c r="BM706" s="39"/>
    </row>
    <row r="707" spans="1:65" x14ac:dyDescent="0.15">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c r="AM707" s="39"/>
      <c r="AN707" s="39"/>
      <c r="AO707" s="39"/>
      <c r="AP707" s="39"/>
      <c r="AQ707" s="39"/>
      <c r="AR707" s="39"/>
      <c r="AS707" s="39"/>
      <c r="AT707" s="39"/>
      <c r="AU707" s="39"/>
      <c r="AV707" s="39"/>
      <c r="AW707" s="39"/>
      <c r="AX707" s="39"/>
      <c r="AY707" s="39"/>
      <c r="AZ707" s="39"/>
      <c r="BA707" s="39"/>
      <c r="BB707" s="39"/>
      <c r="BC707" s="39"/>
      <c r="BD707" s="39"/>
      <c r="BE707" s="39"/>
      <c r="BF707" s="39"/>
      <c r="BG707" s="39"/>
      <c r="BH707" s="39"/>
      <c r="BI707" s="39"/>
      <c r="BJ707" s="39"/>
      <c r="BK707" s="39"/>
      <c r="BL707" s="39"/>
      <c r="BM707" s="39"/>
    </row>
    <row r="708" spans="1:65" x14ac:dyDescent="0.15">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c r="AP708" s="39"/>
      <c r="AQ708" s="39"/>
      <c r="AR708" s="39"/>
      <c r="AS708" s="39"/>
      <c r="AT708" s="39"/>
      <c r="AU708" s="39"/>
      <c r="AV708" s="39"/>
      <c r="AW708" s="39"/>
      <c r="AX708" s="39"/>
      <c r="AY708" s="39"/>
      <c r="AZ708" s="39"/>
      <c r="BA708" s="39"/>
      <c r="BB708" s="39"/>
      <c r="BC708" s="39"/>
      <c r="BD708" s="39"/>
      <c r="BE708" s="39"/>
      <c r="BF708" s="39"/>
      <c r="BG708" s="39"/>
      <c r="BH708" s="39"/>
      <c r="BI708" s="39"/>
      <c r="BJ708" s="39"/>
      <c r="BK708" s="39"/>
      <c r="BL708" s="39"/>
      <c r="BM708" s="39"/>
    </row>
    <row r="709" spans="1:65" x14ac:dyDescent="0.15">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c r="AM709" s="39"/>
      <c r="AN709" s="39"/>
      <c r="AO709" s="39"/>
      <c r="AP709" s="39"/>
      <c r="AQ709" s="39"/>
      <c r="AR709" s="39"/>
      <c r="AS709" s="39"/>
      <c r="AT709" s="39"/>
      <c r="AU709" s="39"/>
      <c r="AV709" s="39"/>
      <c r="AW709" s="39"/>
      <c r="AX709" s="39"/>
      <c r="AY709" s="39"/>
      <c r="AZ709" s="39"/>
      <c r="BA709" s="39"/>
      <c r="BB709" s="39"/>
      <c r="BC709" s="39"/>
      <c r="BD709" s="39"/>
      <c r="BE709" s="39"/>
      <c r="BF709" s="39"/>
      <c r="BG709" s="39"/>
      <c r="BH709" s="39"/>
      <c r="BI709" s="39"/>
      <c r="BJ709" s="39"/>
      <c r="BK709" s="39"/>
      <c r="BL709" s="39"/>
      <c r="BM709" s="39"/>
    </row>
    <row r="710" spans="1:65" x14ac:dyDescent="0.15">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c r="AM710" s="39"/>
      <c r="AN710" s="39"/>
      <c r="AO710" s="39"/>
      <c r="AP710" s="39"/>
      <c r="AQ710" s="39"/>
      <c r="AR710" s="39"/>
      <c r="AS710" s="39"/>
      <c r="AT710" s="39"/>
      <c r="AU710" s="39"/>
      <c r="AV710" s="39"/>
      <c r="AW710" s="39"/>
      <c r="AX710" s="39"/>
      <c r="AY710" s="39"/>
      <c r="AZ710" s="39"/>
      <c r="BA710" s="39"/>
      <c r="BB710" s="39"/>
      <c r="BC710" s="39"/>
      <c r="BD710" s="39"/>
      <c r="BE710" s="39"/>
      <c r="BF710" s="39"/>
      <c r="BG710" s="39"/>
      <c r="BH710" s="39"/>
      <c r="BI710" s="39"/>
      <c r="BJ710" s="39"/>
      <c r="BK710" s="39"/>
      <c r="BL710" s="39"/>
      <c r="BM710" s="39"/>
    </row>
    <row r="711" spans="1:65" x14ac:dyDescent="0.15">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c r="AM711" s="39"/>
      <c r="AN711" s="39"/>
      <c r="AO711" s="39"/>
      <c r="AP711" s="39"/>
      <c r="AQ711" s="39"/>
      <c r="AR711" s="39"/>
      <c r="AS711" s="39"/>
      <c r="AT711" s="39"/>
      <c r="AU711" s="39"/>
      <c r="AV711" s="39"/>
      <c r="AW711" s="39"/>
      <c r="AX711" s="39"/>
      <c r="AY711" s="39"/>
      <c r="AZ711" s="39"/>
      <c r="BA711" s="39"/>
      <c r="BB711" s="39"/>
      <c r="BC711" s="39"/>
      <c r="BD711" s="39"/>
      <c r="BE711" s="39"/>
      <c r="BF711" s="39"/>
      <c r="BG711" s="39"/>
      <c r="BH711" s="39"/>
      <c r="BI711" s="39"/>
      <c r="BJ711" s="39"/>
      <c r="BK711" s="39"/>
      <c r="BL711" s="39"/>
      <c r="BM711" s="39"/>
    </row>
    <row r="712" spans="1:65" x14ac:dyDescent="0.15">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c r="AM712" s="39"/>
      <c r="AN712" s="39"/>
      <c r="AO712" s="39"/>
      <c r="AP712" s="39"/>
      <c r="AQ712" s="39"/>
      <c r="AR712" s="39"/>
      <c r="AS712" s="39"/>
      <c r="AT712" s="39"/>
      <c r="AU712" s="39"/>
      <c r="AV712" s="39"/>
      <c r="AW712" s="39"/>
      <c r="AX712" s="39"/>
      <c r="AY712" s="39"/>
      <c r="AZ712" s="39"/>
      <c r="BA712" s="39"/>
      <c r="BB712" s="39"/>
      <c r="BC712" s="39"/>
      <c r="BD712" s="39"/>
      <c r="BE712" s="39"/>
      <c r="BF712" s="39"/>
      <c r="BG712" s="39"/>
      <c r="BH712" s="39"/>
      <c r="BI712" s="39"/>
      <c r="BJ712" s="39"/>
      <c r="BK712" s="39"/>
      <c r="BL712" s="39"/>
      <c r="BM712" s="39"/>
    </row>
    <row r="713" spans="1:65" x14ac:dyDescent="0.15">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c r="AR713" s="39"/>
      <c r="AS713" s="39"/>
      <c r="AT713" s="39"/>
      <c r="AU713" s="39"/>
      <c r="AV713" s="39"/>
      <c r="AW713" s="39"/>
      <c r="AX713" s="39"/>
      <c r="AY713" s="39"/>
      <c r="AZ713" s="39"/>
      <c r="BA713" s="39"/>
      <c r="BB713" s="39"/>
      <c r="BC713" s="39"/>
      <c r="BD713" s="39"/>
      <c r="BE713" s="39"/>
      <c r="BF713" s="39"/>
      <c r="BG713" s="39"/>
      <c r="BH713" s="39"/>
      <c r="BI713" s="39"/>
      <c r="BJ713" s="39"/>
      <c r="BK713" s="39"/>
      <c r="BL713" s="39"/>
      <c r="BM713" s="39"/>
    </row>
    <row r="714" spans="1:65" x14ac:dyDescent="0.15">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c r="AM714" s="39"/>
      <c r="AN714" s="39"/>
      <c r="AO714" s="39"/>
      <c r="AP714" s="39"/>
      <c r="AQ714" s="39"/>
      <c r="AR714" s="39"/>
      <c r="AS714" s="39"/>
      <c r="AT714" s="39"/>
      <c r="AU714" s="39"/>
      <c r="AV714" s="39"/>
      <c r="AW714" s="39"/>
      <c r="AX714" s="39"/>
      <c r="AY714" s="39"/>
      <c r="AZ714" s="39"/>
      <c r="BA714" s="39"/>
      <c r="BB714" s="39"/>
      <c r="BC714" s="39"/>
      <c r="BD714" s="39"/>
      <c r="BE714" s="39"/>
      <c r="BF714" s="39"/>
      <c r="BG714" s="39"/>
      <c r="BH714" s="39"/>
      <c r="BI714" s="39"/>
      <c r="BJ714" s="39"/>
      <c r="BK714" s="39"/>
      <c r="BL714" s="39"/>
      <c r="BM714" s="39"/>
    </row>
    <row r="715" spans="1:65" x14ac:dyDescent="0.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c r="AM715" s="39"/>
      <c r="AN715" s="39"/>
      <c r="AO715" s="39"/>
      <c r="AP715" s="39"/>
      <c r="AQ715" s="39"/>
      <c r="AR715" s="39"/>
      <c r="AS715" s="39"/>
      <c r="AT715" s="39"/>
      <c r="AU715" s="39"/>
      <c r="AV715" s="39"/>
      <c r="AW715" s="39"/>
      <c r="AX715" s="39"/>
      <c r="AY715" s="39"/>
      <c r="AZ715" s="39"/>
      <c r="BA715" s="39"/>
      <c r="BB715" s="39"/>
      <c r="BC715" s="39"/>
      <c r="BD715" s="39"/>
      <c r="BE715" s="39"/>
      <c r="BF715" s="39"/>
      <c r="BG715" s="39"/>
      <c r="BH715" s="39"/>
      <c r="BI715" s="39"/>
      <c r="BJ715" s="39"/>
      <c r="BK715" s="39"/>
      <c r="BL715" s="39"/>
      <c r="BM715" s="39"/>
    </row>
    <row r="716" spans="1:65" x14ac:dyDescent="0.15">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c r="AM716" s="39"/>
      <c r="AN716" s="39"/>
      <c r="AO716" s="39"/>
      <c r="AP716" s="39"/>
      <c r="AQ716" s="39"/>
      <c r="AR716" s="39"/>
      <c r="AS716" s="39"/>
      <c r="AT716" s="39"/>
      <c r="AU716" s="39"/>
      <c r="AV716" s="39"/>
      <c r="AW716" s="39"/>
      <c r="AX716" s="39"/>
      <c r="AY716" s="39"/>
      <c r="AZ716" s="39"/>
      <c r="BA716" s="39"/>
      <c r="BB716" s="39"/>
      <c r="BC716" s="39"/>
      <c r="BD716" s="39"/>
      <c r="BE716" s="39"/>
      <c r="BF716" s="39"/>
      <c r="BG716" s="39"/>
      <c r="BH716" s="39"/>
      <c r="BI716" s="39"/>
      <c r="BJ716" s="39"/>
      <c r="BK716" s="39"/>
      <c r="BL716" s="39"/>
      <c r="BM716" s="39"/>
    </row>
    <row r="717" spans="1:65" x14ac:dyDescent="0.15">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c r="AM717" s="39"/>
      <c r="AN717" s="39"/>
      <c r="AO717" s="39"/>
      <c r="AP717" s="39"/>
      <c r="AQ717" s="39"/>
      <c r="AR717" s="39"/>
      <c r="AS717" s="39"/>
      <c r="AT717" s="39"/>
      <c r="AU717" s="39"/>
      <c r="AV717" s="39"/>
      <c r="AW717" s="39"/>
      <c r="AX717" s="39"/>
      <c r="AY717" s="39"/>
      <c r="AZ717" s="39"/>
      <c r="BA717" s="39"/>
      <c r="BB717" s="39"/>
      <c r="BC717" s="39"/>
      <c r="BD717" s="39"/>
      <c r="BE717" s="39"/>
      <c r="BF717" s="39"/>
      <c r="BG717" s="39"/>
      <c r="BH717" s="39"/>
      <c r="BI717" s="39"/>
      <c r="BJ717" s="39"/>
      <c r="BK717" s="39"/>
      <c r="BL717" s="39"/>
      <c r="BM717" s="39"/>
    </row>
    <row r="718" spans="1:65" x14ac:dyDescent="0.15">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c r="AM718" s="39"/>
      <c r="AN718" s="39"/>
      <c r="AO718" s="39"/>
      <c r="AP718" s="39"/>
      <c r="AQ718" s="39"/>
      <c r="AR718" s="39"/>
      <c r="AS718" s="39"/>
      <c r="AT718" s="39"/>
      <c r="AU718" s="39"/>
      <c r="AV718" s="39"/>
      <c r="AW718" s="39"/>
      <c r="AX718" s="39"/>
      <c r="AY718" s="39"/>
      <c r="AZ718" s="39"/>
      <c r="BA718" s="39"/>
      <c r="BB718" s="39"/>
      <c r="BC718" s="39"/>
      <c r="BD718" s="39"/>
      <c r="BE718" s="39"/>
      <c r="BF718" s="39"/>
      <c r="BG718" s="39"/>
      <c r="BH718" s="39"/>
      <c r="BI718" s="39"/>
      <c r="BJ718" s="39"/>
      <c r="BK718" s="39"/>
      <c r="BL718" s="39"/>
      <c r="BM718" s="39"/>
    </row>
    <row r="719" spans="1:65" x14ac:dyDescent="0.15">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c r="BA719" s="39"/>
      <c r="BB719" s="39"/>
      <c r="BC719" s="39"/>
      <c r="BD719" s="39"/>
      <c r="BE719" s="39"/>
      <c r="BF719" s="39"/>
      <c r="BG719" s="39"/>
      <c r="BH719" s="39"/>
      <c r="BI719" s="39"/>
      <c r="BJ719" s="39"/>
      <c r="BK719" s="39"/>
      <c r="BL719" s="39"/>
      <c r="BM719" s="39"/>
    </row>
    <row r="720" spans="1:65" x14ac:dyDescent="0.15">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c r="AP720" s="39"/>
      <c r="AQ720" s="39"/>
      <c r="AR720" s="39"/>
      <c r="AS720" s="39"/>
      <c r="AT720" s="39"/>
      <c r="AU720" s="39"/>
      <c r="AV720" s="39"/>
      <c r="AW720" s="39"/>
      <c r="AX720" s="39"/>
      <c r="AY720" s="39"/>
      <c r="AZ720" s="39"/>
      <c r="BA720" s="39"/>
      <c r="BB720" s="39"/>
      <c r="BC720" s="39"/>
      <c r="BD720" s="39"/>
      <c r="BE720" s="39"/>
      <c r="BF720" s="39"/>
      <c r="BG720" s="39"/>
      <c r="BH720" s="39"/>
      <c r="BI720" s="39"/>
      <c r="BJ720" s="39"/>
      <c r="BK720" s="39"/>
      <c r="BL720" s="39"/>
      <c r="BM720" s="39"/>
    </row>
    <row r="721" spans="1:65" x14ac:dyDescent="0.15">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c r="AM721" s="39"/>
      <c r="AN721" s="39"/>
      <c r="AO721" s="39"/>
      <c r="AP721" s="39"/>
      <c r="AQ721" s="39"/>
      <c r="AR721" s="39"/>
      <c r="AS721" s="39"/>
      <c r="AT721" s="39"/>
      <c r="AU721" s="39"/>
      <c r="AV721" s="39"/>
      <c r="AW721" s="39"/>
      <c r="AX721" s="39"/>
      <c r="AY721" s="39"/>
      <c r="AZ721" s="39"/>
      <c r="BA721" s="39"/>
      <c r="BB721" s="39"/>
      <c r="BC721" s="39"/>
      <c r="BD721" s="39"/>
      <c r="BE721" s="39"/>
      <c r="BF721" s="39"/>
      <c r="BG721" s="39"/>
      <c r="BH721" s="39"/>
      <c r="BI721" s="39"/>
      <c r="BJ721" s="39"/>
      <c r="BK721" s="39"/>
      <c r="BL721" s="39"/>
      <c r="BM721" s="39"/>
    </row>
    <row r="722" spans="1:65" x14ac:dyDescent="0.15">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c r="AM722" s="39"/>
      <c r="AN722" s="39"/>
      <c r="AO722" s="39"/>
      <c r="AP722" s="39"/>
      <c r="AQ722" s="39"/>
      <c r="AR722" s="39"/>
      <c r="AS722" s="39"/>
      <c r="AT722" s="39"/>
      <c r="AU722" s="39"/>
      <c r="AV722" s="39"/>
      <c r="AW722" s="39"/>
      <c r="AX722" s="39"/>
      <c r="AY722" s="39"/>
      <c r="AZ722" s="39"/>
      <c r="BA722" s="39"/>
      <c r="BB722" s="39"/>
      <c r="BC722" s="39"/>
      <c r="BD722" s="39"/>
      <c r="BE722" s="39"/>
      <c r="BF722" s="39"/>
      <c r="BG722" s="39"/>
      <c r="BH722" s="39"/>
      <c r="BI722" s="39"/>
      <c r="BJ722" s="39"/>
      <c r="BK722" s="39"/>
      <c r="BL722" s="39"/>
      <c r="BM722" s="39"/>
    </row>
    <row r="723" spans="1:65" x14ac:dyDescent="0.15">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c r="AM723" s="39"/>
      <c r="AN723" s="39"/>
      <c r="AO723" s="39"/>
      <c r="AP723" s="39"/>
      <c r="AQ723" s="39"/>
      <c r="AR723" s="39"/>
      <c r="AS723" s="39"/>
      <c r="AT723" s="39"/>
      <c r="AU723" s="39"/>
      <c r="AV723" s="39"/>
      <c r="AW723" s="39"/>
      <c r="AX723" s="39"/>
      <c r="AY723" s="39"/>
      <c r="AZ723" s="39"/>
      <c r="BA723" s="39"/>
      <c r="BB723" s="39"/>
      <c r="BC723" s="39"/>
      <c r="BD723" s="39"/>
      <c r="BE723" s="39"/>
      <c r="BF723" s="39"/>
      <c r="BG723" s="39"/>
      <c r="BH723" s="39"/>
      <c r="BI723" s="39"/>
      <c r="BJ723" s="39"/>
      <c r="BK723" s="39"/>
      <c r="BL723" s="39"/>
      <c r="BM723" s="39"/>
    </row>
    <row r="724" spans="1:65" x14ac:dyDescent="0.15">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c r="AM724" s="39"/>
      <c r="AN724" s="39"/>
      <c r="AO724" s="39"/>
      <c r="AP724" s="39"/>
      <c r="AQ724" s="39"/>
      <c r="AR724" s="39"/>
      <c r="AS724" s="39"/>
      <c r="AT724" s="39"/>
      <c r="AU724" s="39"/>
      <c r="AV724" s="39"/>
      <c r="AW724" s="39"/>
      <c r="AX724" s="39"/>
      <c r="AY724" s="39"/>
      <c r="AZ724" s="39"/>
      <c r="BA724" s="39"/>
      <c r="BB724" s="39"/>
      <c r="BC724" s="39"/>
      <c r="BD724" s="39"/>
      <c r="BE724" s="39"/>
      <c r="BF724" s="39"/>
      <c r="BG724" s="39"/>
      <c r="BH724" s="39"/>
      <c r="BI724" s="39"/>
      <c r="BJ724" s="39"/>
      <c r="BK724" s="39"/>
      <c r="BL724" s="39"/>
      <c r="BM724" s="39"/>
    </row>
    <row r="725" spans="1:65" x14ac:dyDescent="0.1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c r="AM725" s="39"/>
      <c r="AN725" s="39"/>
      <c r="AO725" s="39"/>
      <c r="AP725" s="39"/>
      <c r="AQ725" s="39"/>
      <c r="AR725" s="39"/>
      <c r="AS725" s="39"/>
      <c r="AT725" s="39"/>
      <c r="AU725" s="39"/>
      <c r="AV725" s="39"/>
      <c r="AW725" s="39"/>
      <c r="AX725" s="39"/>
      <c r="AY725" s="39"/>
      <c r="AZ725" s="39"/>
      <c r="BA725" s="39"/>
      <c r="BB725" s="39"/>
      <c r="BC725" s="39"/>
      <c r="BD725" s="39"/>
      <c r="BE725" s="39"/>
      <c r="BF725" s="39"/>
      <c r="BG725" s="39"/>
      <c r="BH725" s="39"/>
      <c r="BI725" s="39"/>
      <c r="BJ725" s="39"/>
      <c r="BK725" s="39"/>
      <c r="BL725" s="39"/>
      <c r="BM725" s="39"/>
    </row>
    <row r="726" spans="1:65" x14ac:dyDescent="0.15">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c r="AM726" s="39"/>
      <c r="AN726" s="39"/>
      <c r="AO726" s="39"/>
      <c r="AP726" s="39"/>
      <c r="AQ726" s="39"/>
      <c r="AR726" s="39"/>
      <c r="AS726" s="39"/>
      <c r="AT726" s="39"/>
      <c r="AU726" s="39"/>
      <c r="AV726" s="39"/>
      <c r="AW726" s="39"/>
      <c r="AX726" s="39"/>
      <c r="AY726" s="39"/>
      <c r="AZ726" s="39"/>
      <c r="BA726" s="39"/>
      <c r="BB726" s="39"/>
      <c r="BC726" s="39"/>
      <c r="BD726" s="39"/>
      <c r="BE726" s="39"/>
      <c r="BF726" s="39"/>
      <c r="BG726" s="39"/>
      <c r="BH726" s="39"/>
      <c r="BI726" s="39"/>
      <c r="BJ726" s="39"/>
      <c r="BK726" s="39"/>
      <c r="BL726" s="39"/>
      <c r="BM726" s="39"/>
    </row>
    <row r="727" spans="1:65" x14ac:dyDescent="0.15">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c r="AM727" s="39"/>
      <c r="AN727" s="39"/>
      <c r="AO727" s="39"/>
      <c r="AP727" s="39"/>
      <c r="AQ727" s="39"/>
      <c r="AR727" s="39"/>
      <c r="AS727" s="39"/>
      <c r="AT727" s="39"/>
      <c r="AU727" s="39"/>
      <c r="AV727" s="39"/>
      <c r="AW727" s="39"/>
      <c r="AX727" s="39"/>
      <c r="AY727" s="39"/>
      <c r="AZ727" s="39"/>
      <c r="BA727" s="39"/>
      <c r="BB727" s="39"/>
      <c r="BC727" s="39"/>
      <c r="BD727" s="39"/>
      <c r="BE727" s="39"/>
      <c r="BF727" s="39"/>
      <c r="BG727" s="39"/>
      <c r="BH727" s="39"/>
      <c r="BI727" s="39"/>
      <c r="BJ727" s="39"/>
      <c r="BK727" s="39"/>
      <c r="BL727" s="39"/>
      <c r="BM727" s="39"/>
    </row>
    <row r="728" spans="1:65" x14ac:dyDescent="0.15">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c r="AM728" s="39"/>
      <c r="AN728" s="39"/>
      <c r="AO728" s="39"/>
      <c r="AP728" s="39"/>
      <c r="AQ728" s="39"/>
      <c r="AR728" s="39"/>
      <c r="AS728" s="39"/>
      <c r="AT728" s="39"/>
      <c r="AU728" s="39"/>
      <c r="AV728" s="39"/>
      <c r="AW728" s="39"/>
      <c r="AX728" s="39"/>
      <c r="AY728" s="39"/>
      <c r="AZ728" s="39"/>
      <c r="BA728" s="39"/>
      <c r="BB728" s="39"/>
      <c r="BC728" s="39"/>
      <c r="BD728" s="39"/>
      <c r="BE728" s="39"/>
      <c r="BF728" s="39"/>
      <c r="BG728" s="39"/>
      <c r="BH728" s="39"/>
      <c r="BI728" s="39"/>
      <c r="BJ728" s="39"/>
      <c r="BK728" s="39"/>
      <c r="BL728" s="39"/>
      <c r="BM728" s="39"/>
    </row>
    <row r="729" spans="1:65" x14ac:dyDescent="0.15">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c r="AM729" s="39"/>
      <c r="AN729" s="39"/>
      <c r="AO729" s="39"/>
      <c r="AP729" s="39"/>
      <c r="AQ729" s="39"/>
      <c r="AR729" s="39"/>
      <c r="AS729" s="39"/>
      <c r="AT729" s="39"/>
      <c r="AU729" s="39"/>
      <c r="AV729" s="39"/>
      <c r="AW729" s="39"/>
      <c r="AX729" s="39"/>
      <c r="AY729" s="39"/>
      <c r="AZ729" s="39"/>
      <c r="BA729" s="39"/>
      <c r="BB729" s="39"/>
      <c r="BC729" s="39"/>
      <c r="BD729" s="39"/>
      <c r="BE729" s="39"/>
      <c r="BF729" s="39"/>
      <c r="BG729" s="39"/>
      <c r="BH729" s="39"/>
      <c r="BI729" s="39"/>
      <c r="BJ729" s="39"/>
      <c r="BK729" s="39"/>
      <c r="BL729" s="39"/>
      <c r="BM729" s="39"/>
    </row>
    <row r="730" spans="1:65" x14ac:dyDescent="0.15">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c r="AM730" s="39"/>
      <c r="AN730" s="39"/>
      <c r="AO730" s="39"/>
      <c r="AP730" s="39"/>
      <c r="AQ730" s="39"/>
      <c r="AR730" s="39"/>
      <c r="AS730" s="39"/>
      <c r="AT730" s="39"/>
      <c r="AU730" s="39"/>
      <c r="AV730" s="39"/>
      <c r="AW730" s="39"/>
      <c r="AX730" s="39"/>
      <c r="AY730" s="39"/>
      <c r="AZ730" s="39"/>
      <c r="BA730" s="39"/>
      <c r="BB730" s="39"/>
      <c r="BC730" s="39"/>
      <c r="BD730" s="39"/>
      <c r="BE730" s="39"/>
      <c r="BF730" s="39"/>
      <c r="BG730" s="39"/>
      <c r="BH730" s="39"/>
      <c r="BI730" s="39"/>
      <c r="BJ730" s="39"/>
      <c r="BK730" s="39"/>
      <c r="BL730" s="39"/>
      <c r="BM730" s="39"/>
    </row>
    <row r="731" spans="1:65" x14ac:dyDescent="0.15">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c r="AM731" s="39"/>
      <c r="AN731" s="39"/>
      <c r="AO731" s="39"/>
      <c r="AP731" s="39"/>
      <c r="AQ731" s="39"/>
      <c r="AR731" s="39"/>
      <c r="AS731" s="39"/>
      <c r="AT731" s="39"/>
      <c r="AU731" s="39"/>
      <c r="AV731" s="39"/>
      <c r="AW731" s="39"/>
      <c r="AX731" s="39"/>
      <c r="AY731" s="39"/>
      <c r="AZ731" s="39"/>
      <c r="BA731" s="39"/>
      <c r="BB731" s="39"/>
      <c r="BC731" s="39"/>
      <c r="BD731" s="39"/>
      <c r="BE731" s="39"/>
      <c r="BF731" s="39"/>
      <c r="BG731" s="39"/>
      <c r="BH731" s="39"/>
      <c r="BI731" s="39"/>
      <c r="BJ731" s="39"/>
      <c r="BK731" s="39"/>
      <c r="BL731" s="39"/>
      <c r="BM731" s="39"/>
    </row>
    <row r="732" spans="1:65" x14ac:dyDescent="0.15">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c r="AM732" s="39"/>
      <c r="AN732" s="39"/>
      <c r="AO732" s="39"/>
      <c r="AP732" s="39"/>
      <c r="AQ732" s="39"/>
      <c r="AR732" s="39"/>
      <c r="AS732" s="39"/>
      <c r="AT732" s="39"/>
      <c r="AU732" s="39"/>
      <c r="AV732" s="39"/>
      <c r="AW732" s="39"/>
      <c r="AX732" s="39"/>
      <c r="AY732" s="39"/>
      <c r="AZ732" s="39"/>
      <c r="BA732" s="39"/>
      <c r="BB732" s="39"/>
      <c r="BC732" s="39"/>
      <c r="BD732" s="39"/>
      <c r="BE732" s="39"/>
      <c r="BF732" s="39"/>
      <c r="BG732" s="39"/>
      <c r="BH732" s="39"/>
      <c r="BI732" s="39"/>
      <c r="BJ732" s="39"/>
      <c r="BK732" s="39"/>
      <c r="BL732" s="39"/>
      <c r="BM732" s="39"/>
    </row>
    <row r="733" spans="1:65" x14ac:dyDescent="0.15">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c r="AM733" s="39"/>
      <c r="AN733" s="39"/>
      <c r="AO733" s="39"/>
      <c r="AP733" s="39"/>
      <c r="AQ733" s="39"/>
      <c r="AR733" s="39"/>
      <c r="AS733" s="39"/>
      <c r="AT733" s="39"/>
      <c r="AU733" s="39"/>
      <c r="AV733" s="39"/>
      <c r="AW733" s="39"/>
      <c r="AX733" s="39"/>
      <c r="AY733" s="39"/>
      <c r="AZ733" s="39"/>
      <c r="BA733" s="39"/>
      <c r="BB733" s="39"/>
      <c r="BC733" s="39"/>
      <c r="BD733" s="39"/>
      <c r="BE733" s="39"/>
      <c r="BF733" s="39"/>
      <c r="BG733" s="39"/>
      <c r="BH733" s="39"/>
      <c r="BI733" s="39"/>
      <c r="BJ733" s="39"/>
      <c r="BK733" s="39"/>
      <c r="BL733" s="39"/>
      <c r="BM733" s="39"/>
    </row>
    <row r="734" spans="1:65" x14ac:dyDescent="0.15">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c r="AP734" s="39"/>
      <c r="AQ734" s="39"/>
      <c r="AR734" s="39"/>
      <c r="AS734" s="39"/>
      <c r="AT734" s="39"/>
      <c r="AU734" s="39"/>
      <c r="AV734" s="39"/>
      <c r="AW734" s="39"/>
      <c r="AX734" s="39"/>
      <c r="AY734" s="39"/>
      <c r="AZ734" s="39"/>
      <c r="BA734" s="39"/>
      <c r="BB734" s="39"/>
      <c r="BC734" s="39"/>
      <c r="BD734" s="39"/>
      <c r="BE734" s="39"/>
      <c r="BF734" s="39"/>
      <c r="BG734" s="39"/>
      <c r="BH734" s="39"/>
      <c r="BI734" s="39"/>
      <c r="BJ734" s="39"/>
      <c r="BK734" s="39"/>
      <c r="BL734" s="39"/>
      <c r="BM734" s="39"/>
    </row>
    <row r="735" spans="1:65" x14ac:dyDescent="0.1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c r="AM735" s="39"/>
      <c r="AN735" s="39"/>
      <c r="AO735" s="39"/>
      <c r="AP735" s="39"/>
      <c r="AQ735" s="39"/>
      <c r="AR735" s="39"/>
      <c r="AS735" s="39"/>
      <c r="AT735" s="39"/>
      <c r="AU735" s="39"/>
      <c r="AV735" s="39"/>
      <c r="AW735" s="39"/>
      <c r="AX735" s="39"/>
      <c r="AY735" s="39"/>
      <c r="AZ735" s="39"/>
      <c r="BA735" s="39"/>
      <c r="BB735" s="39"/>
      <c r="BC735" s="39"/>
      <c r="BD735" s="39"/>
      <c r="BE735" s="39"/>
      <c r="BF735" s="39"/>
      <c r="BG735" s="39"/>
      <c r="BH735" s="39"/>
      <c r="BI735" s="39"/>
      <c r="BJ735" s="39"/>
      <c r="BK735" s="39"/>
      <c r="BL735" s="39"/>
      <c r="BM735" s="39"/>
    </row>
    <row r="736" spans="1:65" x14ac:dyDescent="0.15">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c r="AM736" s="39"/>
      <c r="AN736" s="39"/>
      <c r="AO736" s="39"/>
      <c r="AP736" s="39"/>
      <c r="AQ736" s="39"/>
      <c r="AR736" s="39"/>
      <c r="AS736" s="39"/>
      <c r="AT736" s="39"/>
      <c r="AU736" s="39"/>
      <c r="AV736" s="39"/>
      <c r="AW736" s="39"/>
      <c r="AX736" s="39"/>
      <c r="AY736" s="39"/>
      <c r="AZ736" s="39"/>
      <c r="BA736" s="39"/>
      <c r="BB736" s="39"/>
      <c r="BC736" s="39"/>
      <c r="BD736" s="39"/>
      <c r="BE736" s="39"/>
      <c r="BF736" s="39"/>
      <c r="BG736" s="39"/>
      <c r="BH736" s="39"/>
      <c r="BI736" s="39"/>
      <c r="BJ736" s="39"/>
      <c r="BK736" s="39"/>
      <c r="BL736" s="39"/>
      <c r="BM736" s="39"/>
    </row>
    <row r="737" spans="1:65" x14ac:dyDescent="0.15">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c r="AM737" s="39"/>
      <c r="AN737" s="39"/>
      <c r="AO737" s="39"/>
      <c r="AP737" s="39"/>
      <c r="AQ737" s="39"/>
      <c r="AR737" s="39"/>
      <c r="AS737" s="39"/>
      <c r="AT737" s="39"/>
      <c r="AU737" s="39"/>
      <c r="AV737" s="39"/>
      <c r="AW737" s="39"/>
      <c r="AX737" s="39"/>
      <c r="AY737" s="39"/>
      <c r="AZ737" s="39"/>
      <c r="BA737" s="39"/>
      <c r="BB737" s="39"/>
      <c r="BC737" s="39"/>
      <c r="BD737" s="39"/>
      <c r="BE737" s="39"/>
      <c r="BF737" s="39"/>
      <c r="BG737" s="39"/>
      <c r="BH737" s="39"/>
      <c r="BI737" s="39"/>
      <c r="BJ737" s="39"/>
      <c r="BK737" s="39"/>
      <c r="BL737" s="39"/>
      <c r="BM737" s="39"/>
    </row>
    <row r="738" spans="1:65" x14ac:dyDescent="0.15">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c r="AM738" s="39"/>
      <c r="AN738" s="39"/>
      <c r="AO738" s="39"/>
      <c r="AP738" s="39"/>
      <c r="AQ738" s="39"/>
      <c r="AR738" s="39"/>
      <c r="AS738" s="39"/>
      <c r="AT738" s="39"/>
      <c r="AU738" s="39"/>
      <c r="AV738" s="39"/>
      <c r="AW738" s="39"/>
      <c r="AX738" s="39"/>
      <c r="AY738" s="39"/>
      <c r="AZ738" s="39"/>
      <c r="BA738" s="39"/>
      <c r="BB738" s="39"/>
      <c r="BC738" s="39"/>
      <c r="BD738" s="39"/>
      <c r="BE738" s="39"/>
      <c r="BF738" s="39"/>
      <c r="BG738" s="39"/>
      <c r="BH738" s="39"/>
      <c r="BI738" s="39"/>
      <c r="BJ738" s="39"/>
      <c r="BK738" s="39"/>
      <c r="BL738" s="39"/>
      <c r="BM738" s="39"/>
    </row>
    <row r="739" spans="1:65" x14ac:dyDescent="0.15">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c r="AM739" s="39"/>
      <c r="AN739" s="39"/>
      <c r="AO739" s="39"/>
      <c r="AP739" s="39"/>
      <c r="AQ739" s="39"/>
      <c r="AR739" s="39"/>
      <c r="AS739" s="39"/>
      <c r="AT739" s="39"/>
      <c r="AU739" s="39"/>
      <c r="AV739" s="39"/>
      <c r="AW739" s="39"/>
      <c r="AX739" s="39"/>
      <c r="AY739" s="39"/>
      <c r="AZ739" s="39"/>
      <c r="BA739" s="39"/>
      <c r="BB739" s="39"/>
      <c r="BC739" s="39"/>
      <c r="BD739" s="39"/>
      <c r="BE739" s="39"/>
      <c r="BF739" s="39"/>
      <c r="BG739" s="39"/>
      <c r="BH739" s="39"/>
      <c r="BI739" s="39"/>
      <c r="BJ739" s="39"/>
      <c r="BK739" s="39"/>
      <c r="BL739" s="39"/>
      <c r="BM739" s="39"/>
    </row>
    <row r="740" spans="1:65" x14ac:dyDescent="0.15">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c r="AM740" s="39"/>
      <c r="AN740" s="39"/>
      <c r="AO740" s="39"/>
      <c r="AP740" s="39"/>
      <c r="AQ740" s="39"/>
      <c r="AR740" s="39"/>
      <c r="AS740" s="39"/>
      <c r="AT740" s="39"/>
      <c r="AU740" s="39"/>
      <c r="AV740" s="39"/>
      <c r="AW740" s="39"/>
      <c r="AX740" s="39"/>
      <c r="AY740" s="39"/>
      <c r="AZ740" s="39"/>
      <c r="BA740" s="39"/>
      <c r="BB740" s="39"/>
      <c r="BC740" s="39"/>
      <c r="BD740" s="39"/>
      <c r="BE740" s="39"/>
      <c r="BF740" s="39"/>
      <c r="BG740" s="39"/>
      <c r="BH740" s="39"/>
      <c r="BI740" s="39"/>
      <c r="BJ740" s="39"/>
      <c r="BK740" s="39"/>
      <c r="BL740" s="39"/>
      <c r="BM740" s="39"/>
    </row>
    <row r="741" spans="1:65" x14ac:dyDescent="0.15">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c r="BA741" s="39"/>
      <c r="BB741" s="39"/>
      <c r="BC741" s="39"/>
      <c r="BD741" s="39"/>
      <c r="BE741" s="39"/>
      <c r="BF741" s="39"/>
      <c r="BG741" s="39"/>
      <c r="BH741" s="39"/>
      <c r="BI741" s="39"/>
      <c r="BJ741" s="39"/>
      <c r="BK741" s="39"/>
      <c r="BL741" s="39"/>
      <c r="BM741" s="39"/>
    </row>
    <row r="742" spans="1:65" x14ac:dyDescent="0.15">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c r="AM742" s="39"/>
      <c r="AN742" s="39"/>
      <c r="AO742" s="39"/>
      <c r="AP742" s="39"/>
      <c r="AQ742" s="39"/>
      <c r="AR742" s="39"/>
      <c r="AS742" s="39"/>
      <c r="AT742" s="39"/>
      <c r="AU742" s="39"/>
      <c r="AV742" s="39"/>
      <c r="AW742" s="39"/>
      <c r="AX742" s="39"/>
      <c r="AY742" s="39"/>
      <c r="AZ742" s="39"/>
      <c r="BA742" s="39"/>
      <c r="BB742" s="39"/>
      <c r="BC742" s="39"/>
      <c r="BD742" s="39"/>
      <c r="BE742" s="39"/>
      <c r="BF742" s="39"/>
      <c r="BG742" s="39"/>
      <c r="BH742" s="39"/>
      <c r="BI742" s="39"/>
      <c r="BJ742" s="39"/>
      <c r="BK742" s="39"/>
      <c r="BL742" s="39"/>
      <c r="BM742" s="39"/>
    </row>
    <row r="743" spans="1:65" x14ac:dyDescent="0.15">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c r="AM743" s="39"/>
      <c r="AN743" s="39"/>
      <c r="AO743" s="39"/>
      <c r="AP743" s="39"/>
      <c r="AQ743" s="39"/>
      <c r="AR743" s="39"/>
      <c r="AS743" s="39"/>
      <c r="AT743" s="39"/>
      <c r="AU743" s="39"/>
      <c r="AV743" s="39"/>
      <c r="AW743" s="39"/>
      <c r="AX743" s="39"/>
      <c r="AY743" s="39"/>
      <c r="AZ743" s="39"/>
      <c r="BA743" s="39"/>
      <c r="BB743" s="39"/>
      <c r="BC743" s="39"/>
      <c r="BD743" s="39"/>
      <c r="BE743" s="39"/>
      <c r="BF743" s="39"/>
      <c r="BG743" s="39"/>
      <c r="BH743" s="39"/>
      <c r="BI743" s="39"/>
      <c r="BJ743" s="39"/>
      <c r="BK743" s="39"/>
      <c r="BL743" s="39"/>
      <c r="BM743" s="39"/>
    </row>
    <row r="744" spans="1:65" x14ac:dyDescent="0.15">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c r="AM744" s="39"/>
      <c r="AN744" s="39"/>
      <c r="AO744" s="39"/>
      <c r="AP744" s="39"/>
      <c r="AQ744" s="39"/>
      <c r="AR744" s="39"/>
      <c r="AS744" s="39"/>
      <c r="AT744" s="39"/>
      <c r="AU744" s="39"/>
      <c r="AV744" s="39"/>
      <c r="AW744" s="39"/>
      <c r="AX744" s="39"/>
      <c r="AY744" s="39"/>
      <c r="AZ744" s="39"/>
      <c r="BA744" s="39"/>
      <c r="BB744" s="39"/>
      <c r="BC744" s="39"/>
      <c r="BD744" s="39"/>
      <c r="BE744" s="39"/>
      <c r="BF744" s="39"/>
      <c r="BG744" s="39"/>
      <c r="BH744" s="39"/>
      <c r="BI744" s="39"/>
      <c r="BJ744" s="39"/>
      <c r="BK744" s="39"/>
      <c r="BL744" s="39"/>
      <c r="BM744" s="39"/>
    </row>
    <row r="745" spans="1:65" x14ac:dyDescent="0.1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c r="AM745" s="39"/>
      <c r="AN745" s="39"/>
      <c r="AO745" s="39"/>
      <c r="AP745" s="39"/>
      <c r="AQ745" s="39"/>
      <c r="AR745" s="39"/>
      <c r="AS745" s="39"/>
      <c r="AT745" s="39"/>
      <c r="AU745" s="39"/>
      <c r="AV745" s="39"/>
      <c r="AW745" s="39"/>
      <c r="AX745" s="39"/>
      <c r="AY745" s="39"/>
      <c r="AZ745" s="39"/>
      <c r="BA745" s="39"/>
      <c r="BB745" s="39"/>
      <c r="BC745" s="39"/>
      <c r="BD745" s="39"/>
      <c r="BE745" s="39"/>
      <c r="BF745" s="39"/>
      <c r="BG745" s="39"/>
      <c r="BH745" s="39"/>
      <c r="BI745" s="39"/>
      <c r="BJ745" s="39"/>
      <c r="BK745" s="39"/>
      <c r="BL745" s="39"/>
      <c r="BM745" s="39"/>
    </row>
    <row r="746" spans="1:65" x14ac:dyDescent="0.15">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c r="BA746" s="39"/>
      <c r="BB746" s="39"/>
      <c r="BC746" s="39"/>
      <c r="BD746" s="39"/>
      <c r="BE746" s="39"/>
      <c r="BF746" s="39"/>
      <c r="BG746" s="39"/>
      <c r="BH746" s="39"/>
      <c r="BI746" s="39"/>
      <c r="BJ746" s="39"/>
      <c r="BK746" s="39"/>
      <c r="BL746" s="39"/>
      <c r="BM746" s="39"/>
    </row>
    <row r="747" spans="1:65" x14ac:dyDescent="0.15">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c r="AM747" s="39"/>
      <c r="AN747" s="39"/>
      <c r="AO747" s="39"/>
      <c r="AP747" s="39"/>
      <c r="AQ747" s="39"/>
      <c r="AR747" s="39"/>
      <c r="AS747" s="39"/>
      <c r="AT747" s="39"/>
      <c r="AU747" s="39"/>
      <c r="AV747" s="39"/>
      <c r="AW747" s="39"/>
      <c r="AX747" s="39"/>
      <c r="AY747" s="39"/>
      <c r="AZ747" s="39"/>
      <c r="BA747" s="39"/>
      <c r="BB747" s="39"/>
      <c r="BC747" s="39"/>
      <c r="BD747" s="39"/>
      <c r="BE747" s="39"/>
      <c r="BF747" s="39"/>
      <c r="BG747" s="39"/>
      <c r="BH747" s="39"/>
      <c r="BI747" s="39"/>
      <c r="BJ747" s="39"/>
      <c r="BK747" s="39"/>
      <c r="BL747" s="39"/>
      <c r="BM747" s="39"/>
    </row>
    <row r="748" spans="1:65" x14ac:dyDescent="0.15">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c r="AM748" s="39"/>
      <c r="AN748" s="39"/>
      <c r="AO748" s="39"/>
      <c r="AP748" s="39"/>
      <c r="AQ748" s="39"/>
      <c r="AR748" s="39"/>
      <c r="AS748" s="39"/>
      <c r="AT748" s="39"/>
      <c r="AU748" s="39"/>
      <c r="AV748" s="39"/>
      <c r="AW748" s="39"/>
      <c r="AX748" s="39"/>
      <c r="AY748" s="39"/>
      <c r="AZ748" s="39"/>
      <c r="BA748" s="39"/>
      <c r="BB748" s="39"/>
      <c r="BC748" s="39"/>
      <c r="BD748" s="39"/>
      <c r="BE748" s="39"/>
      <c r="BF748" s="39"/>
      <c r="BG748" s="39"/>
      <c r="BH748" s="39"/>
      <c r="BI748" s="39"/>
      <c r="BJ748" s="39"/>
      <c r="BK748" s="39"/>
      <c r="BL748" s="39"/>
      <c r="BM748" s="39"/>
    </row>
    <row r="749" spans="1:65" x14ac:dyDescent="0.15">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c r="AM749" s="39"/>
      <c r="AN749" s="39"/>
      <c r="AO749" s="39"/>
      <c r="AP749" s="39"/>
      <c r="AQ749" s="39"/>
      <c r="AR749" s="39"/>
      <c r="AS749" s="39"/>
      <c r="AT749" s="39"/>
      <c r="AU749" s="39"/>
      <c r="AV749" s="39"/>
      <c r="AW749" s="39"/>
      <c r="AX749" s="39"/>
      <c r="AY749" s="39"/>
      <c r="AZ749" s="39"/>
      <c r="BA749" s="39"/>
      <c r="BB749" s="39"/>
      <c r="BC749" s="39"/>
      <c r="BD749" s="39"/>
      <c r="BE749" s="39"/>
      <c r="BF749" s="39"/>
      <c r="BG749" s="39"/>
      <c r="BH749" s="39"/>
      <c r="BI749" s="39"/>
      <c r="BJ749" s="39"/>
      <c r="BK749" s="39"/>
      <c r="BL749" s="39"/>
      <c r="BM749" s="39"/>
    </row>
    <row r="750" spans="1:65" x14ac:dyDescent="0.15">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c r="AM750" s="39"/>
      <c r="AN750" s="39"/>
      <c r="AO750" s="39"/>
      <c r="AP750" s="39"/>
      <c r="AQ750" s="39"/>
      <c r="AR750" s="39"/>
      <c r="AS750" s="39"/>
      <c r="AT750" s="39"/>
      <c r="AU750" s="39"/>
      <c r="AV750" s="39"/>
      <c r="AW750" s="39"/>
      <c r="AX750" s="39"/>
      <c r="AY750" s="39"/>
      <c r="AZ750" s="39"/>
      <c r="BA750" s="39"/>
      <c r="BB750" s="39"/>
      <c r="BC750" s="39"/>
      <c r="BD750" s="39"/>
      <c r="BE750" s="39"/>
      <c r="BF750" s="39"/>
      <c r="BG750" s="39"/>
      <c r="BH750" s="39"/>
      <c r="BI750" s="39"/>
      <c r="BJ750" s="39"/>
      <c r="BK750" s="39"/>
      <c r="BL750" s="39"/>
      <c r="BM750" s="39"/>
    </row>
    <row r="751" spans="1:65" x14ac:dyDescent="0.15">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c r="AR751" s="39"/>
      <c r="AS751" s="39"/>
      <c r="AT751" s="39"/>
      <c r="AU751" s="39"/>
      <c r="AV751" s="39"/>
      <c r="AW751" s="39"/>
      <c r="AX751" s="39"/>
      <c r="AY751" s="39"/>
      <c r="AZ751" s="39"/>
      <c r="BA751" s="39"/>
      <c r="BB751" s="39"/>
      <c r="BC751" s="39"/>
      <c r="BD751" s="39"/>
      <c r="BE751" s="39"/>
      <c r="BF751" s="39"/>
      <c r="BG751" s="39"/>
      <c r="BH751" s="39"/>
      <c r="BI751" s="39"/>
      <c r="BJ751" s="39"/>
      <c r="BK751" s="39"/>
      <c r="BL751" s="39"/>
      <c r="BM751" s="39"/>
    </row>
    <row r="752" spans="1:65" x14ac:dyDescent="0.15">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c r="AM752" s="39"/>
      <c r="AN752" s="39"/>
      <c r="AO752" s="39"/>
      <c r="AP752" s="39"/>
      <c r="AQ752" s="39"/>
      <c r="AR752" s="39"/>
      <c r="AS752" s="39"/>
      <c r="AT752" s="39"/>
      <c r="AU752" s="39"/>
      <c r="AV752" s="39"/>
      <c r="AW752" s="39"/>
      <c r="AX752" s="39"/>
      <c r="AY752" s="39"/>
      <c r="AZ752" s="39"/>
      <c r="BA752" s="39"/>
      <c r="BB752" s="39"/>
      <c r="BC752" s="39"/>
      <c r="BD752" s="39"/>
      <c r="BE752" s="39"/>
      <c r="BF752" s="39"/>
      <c r="BG752" s="39"/>
      <c r="BH752" s="39"/>
      <c r="BI752" s="39"/>
      <c r="BJ752" s="39"/>
      <c r="BK752" s="39"/>
      <c r="BL752" s="39"/>
      <c r="BM752" s="39"/>
    </row>
    <row r="753" spans="1:65" x14ac:dyDescent="0.15">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c r="AM753" s="39"/>
      <c r="AN753" s="39"/>
      <c r="AO753" s="39"/>
      <c r="AP753" s="39"/>
      <c r="AQ753" s="39"/>
      <c r="AR753" s="39"/>
      <c r="AS753" s="39"/>
      <c r="AT753" s="39"/>
      <c r="AU753" s="39"/>
      <c r="AV753" s="39"/>
      <c r="AW753" s="39"/>
      <c r="AX753" s="39"/>
      <c r="AY753" s="39"/>
      <c r="AZ753" s="39"/>
      <c r="BA753" s="39"/>
      <c r="BB753" s="39"/>
      <c r="BC753" s="39"/>
      <c r="BD753" s="39"/>
      <c r="BE753" s="39"/>
      <c r="BF753" s="39"/>
      <c r="BG753" s="39"/>
      <c r="BH753" s="39"/>
      <c r="BI753" s="39"/>
      <c r="BJ753" s="39"/>
      <c r="BK753" s="39"/>
      <c r="BL753" s="39"/>
      <c r="BM753" s="39"/>
    </row>
    <row r="754" spans="1:65" x14ac:dyDescent="0.15">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c r="AM754" s="39"/>
      <c r="AN754" s="39"/>
      <c r="AO754" s="39"/>
      <c r="AP754" s="39"/>
      <c r="AQ754" s="39"/>
      <c r="AR754" s="39"/>
      <c r="AS754" s="39"/>
      <c r="AT754" s="39"/>
      <c r="AU754" s="39"/>
      <c r="AV754" s="39"/>
      <c r="AW754" s="39"/>
      <c r="AX754" s="39"/>
      <c r="AY754" s="39"/>
      <c r="AZ754" s="39"/>
      <c r="BA754" s="39"/>
      <c r="BB754" s="39"/>
      <c r="BC754" s="39"/>
      <c r="BD754" s="39"/>
      <c r="BE754" s="39"/>
      <c r="BF754" s="39"/>
      <c r="BG754" s="39"/>
      <c r="BH754" s="39"/>
      <c r="BI754" s="39"/>
      <c r="BJ754" s="39"/>
      <c r="BK754" s="39"/>
      <c r="BL754" s="39"/>
      <c r="BM754" s="39"/>
    </row>
    <row r="755" spans="1:65" x14ac:dyDescent="0.1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c r="AM755" s="39"/>
      <c r="AN755" s="39"/>
      <c r="AO755" s="39"/>
      <c r="AP755" s="39"/>
      <c r="AQ755" s="39"/>
      <c r="AR755" s="39"/>
      <c r="AS755" s="39"/>
      <c r="AT755" s="39"/>
      <c r="AU755" s="39"/>
      <c r="AV755" s="39"/>
      <c r="AW755" s="39"/>
      <c r="AX755" s="39"/>
      <c r="AY755" s="39"/>
      <c r="AZ755" s="39"/>
      <c r="BA755" s="39"/>
      <c r="BB755" s="39"/>
      <c r="BC755" s="39"/>
      <c r="BD755" s="39"/>
      <c r="BE755" s="39"/>
      <c r="BF755" s="39"/>
      <c r="BG755" s="39"/>
      <c r="BH755" s="39"/>
      <c r="BI755" s="39"/>
      <c r="BJ755" s="39"/>
      <c r="BK755" s="39"/>
      <c r="BL755" s="39"/>
      <c r="BM755" s="39"/>
    </row>
    <row r="756" spans="1:65" x14ac:dyDescent="0.15">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c r="AP756" s="39"/>
      <c r="AQ756" s="39"/>
      <c r="AR756" s="39"/>
      <c r="AS756" s="39"/>
      <c r="AT756" s="39"/>
      <c r="AU756" s="39"/>
      <c r="AV756" s="39"/>
      <c r="AW756" s="39"/>
      <c r="AX756" s="39"/>
      <c r="AY756" s="39"/>
      <c r="AZ756" s="39"/>
      <c r="BA756" s="39"/>
      <c r="BB756" s="39"/>
      <c r="BC756" s="39"/>
      <c r="BD756" s="39"/>
      <c r="BE756" s="39"/>
      <c r="BF756" s="39"/>
      <c r="BG756" s="39"/>
      <c r="BH756" s="39"/>
      <c r="BI756" s="39"/>
      <c r="BJ756" s="39"/>
      <c r="BK756" s="39"/>
      <c r="BL756" s="39"/>
      <c r="BM756" s="39"/>
    </row>
    <row r="757" spans="1:65" x14ac:dyDescent="0.15">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c r="AM757" s="39"/>
      <c r="AN757" s="39"/>
      <c r="AO757" s="39"/>
      <c r="AP757" s="39"/>
      <c r="AQ757" s="39"/>
      <c r="AR757" s="39"/>
      <c r="AS757" s="39"/>
      <c r="AT757" s="39"/>
      <c r="AU757" s="39"/>
      <c r="AV757" s="39"/>
      <c r="AW757" s="39"/>
      <c r="AX757" s="39"/>
      <c r="AY757" s="39"/>
      <c r="AZ757" s="39"/>
      <c r="BA757" s="39"/>
      <c r="BB757" s="39"/>
      <c r="BC757" s="39"/>
      <c r="BD757" s="39"/>
      <c r="BE757" s="39"/>
      <c r="BF757" s="39"/>
      <c r="BG757" s="39"/>
      <c r="BH757" s="39"/>
      <c r="BI757" s="39"/>
      <c r="BJ757" s="39"/>
      <c r="BK757" s="39"/>
      <c r="BL757" s="39"/>
      <c r="BM757" s="39"/>
    </row>
    <row r="758" spans="1:65" x14ac:dyDescent="0.15">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c r="AR758" s="39"/>
      <c r="AS758" s="39"/>
      <c r="AT758" s="39"/>
      <c r="AU758" s="39"/>
      <c r="AV758" s="39"/>
      <c r="AW758" s="39"/>
      <c r="AX758" s="39"/>
      <c r="AY758" s="39"/>
      <c r="AZ758" s="39"/>
      <c r="BA758" s="39"/>
      <c r="BB758" s="39"/>
      <c r="BC758" s="39"/>
      <c r="BD758" s="39"/>
      <c r="BE758" s="39"/>
      <c r="BF758" s="39"/>
      <c r="BG758" s="39"/>
      <c r="BH758" s="39"/>
      <c r="BI758" s="39"/>
      <c r="BJ758" s="39"/>
      <c r="BK758" s="39"/>
      <c r="BL758" s="39"/>
      <c r="BM758" s="39"/>
    </row>
    <row r="759" spans="1:65" x14ac:dyDescent="0.15">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c r="AM759" s="39"/>
      <c r="AN759" s="39"/>
      <c r="AO759" s="39"/>
      <c r="AP759" s="39"/>
      <c r="AQ759" s="39"/>
      <c r="AR759" s="39"/>
      <c r="AS759" s="39"/>
      <c r="AT759" s="39"/>
      <c r="AU759" s="39"/>
      <c r="AV759" s="39"/>
      <c r="AW759" s="39"/>
      <c r="AX759" s="39"/>
      <c r="AY759" s="39"/>
      <c r="AZ759" s="39"/>
      <c r="BA759" s="39"/>
      <c r="BB759" s="39"/>
      <c r="BC759" s="39"/>
      <c r="BD759" s="39"/>
      <c r="BE759" s="39"/>
      <c r="BF759" s="39"/>
      <c r="BG759" s="39"/>
      <c r="BH759" s="39"/>
      <c r="BI759" s="39"/>
      <c r="BJ759" s="39"/>
      <c r="BK759" s="39"/>
      <c r="BL759" s="39"/>
      <c r="BM759" s="39"/>
    </row>
    <row r="760" spans="1:65" x14ac:dyDescent="0.15">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c r="AM760" s="39"/>
      <c r="AN760" s="39"/>
      <c r="AO760" s="39"/>
      <c r="AP760" s="39"/>
      <c r="AQ760" s="39"/>
      <c r="AR760" s="39"/>
      <c r="AS760" s="39"/>
      <c r="AT760" s="39"/>
      <c r="AU760" s="39"/>
      <c r="AV760" s="39"/>
      <c r="AW760" s="39"/>
      <c r="AX760" s="39"/>
      <c r="AY760" s="39"/>
      <c r="AZ760" s="39"/>
      <c r="BA760" s="39"/>
      <c r="BB760" s="39"/>
      <c r="BC760" s="39"/>
      <c r="BD760" s="39"/>
      <c r="BE760" s="39"/>
      <c r="BF760" s="39"/>
      <c r="BG760" s="39"/>
      <c r="BH760" s="39"/>
      <c r="BI760" s="39"/>
      <c r="BJ760" s="39"/>
      <c r="BK760" s="39"/>
      <c r="BL760" s="39"/>
      <c r="BM760" s="39"/>
    </row>
    <row r="761" spans="1:65" x14ac:dyDescent="0.15">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c r="AP761" s="39"/>
      <c r="AQ761" s="39"/>
      <c r="AR761" s="39"/>
      <c r="AS761" s="39"/>
      <c r="AT761" s="39"/>
      <c r="AU761" s="39"/>
      <c r="AV761" s="39"/>
      <c r="AW761" s="39"/>
      <c r="AX761" s="39"/>
      <c r="AY761" s="39"/>
      <c r="AZ761" s="39"/>
      <c r="BA761" s="39"/>
      <c r="BB761" s="39"/>
      <c r="BC761" s="39"/>
      <c r="BD761" s="39"/>
      <c r="BE761" s="39"/>
      <c r="BF761" s="39"/>
      <c r="BG761" s="39"/>
      <c r="BH761" s="39"/>
      <c r="BI761" s="39"/>
      <c r="BJ761" s="39"/>
      <c r="BK761" s="39"/>
      <c r="BL761" s="39"/>
      <c r="BM761" s="39"/>
    </row>
    <row r="762" spans="1:65" x14ac:dyDescent="0.15">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c r="AM762" s="39"/>
      <c r="AN762" s="39"/>
      <c r="AO762" s="39"/>
      <c r="AP762" s="39"/>
      <c r="AQ762" s="39"/>
      <c r="AR762" s="39"/>
      <c r="AS762" s="39"/>
      <c r="AT762" s="39"/>
      <c r="AU762" s="39"/>
      <c r="AV762" s="39"/>
      <c r="AW762" s="39"/>
      <c r="AX762" s="39"/>
      <c r="AY762" s="39"/>
      <c r="AZ762" s="39"/>
      <c r="BA762" s="39"/>
      <c r="BB762" s="39"/>
      <c r="BC762" s="39"/>
      <c r="BD762" s="39"/>
      <c r="BE762" s="39"/>
      <c r="BF762" s="39"/>
      <c r="BG762" s="39"/>
      <c r="BH762" s="39"/>
      <c r="BI762" s="39"/>
      <c r="BJ762" s="39"/>
      <c r="BK762" s="39"/>
      <c r="BL762" s="39"/>
      <c r="BM762" s="39"/>
    </row>
    <row r="763" spans="1:65" x14ac:dyDescent="0.15">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c r="AM763" s="39"/>
      <c r="AN763" s="39"/>
      <c r="AO763" s="39"/>
      <c r="AP763" s="39"/>
      <c r="AQ763" s="39"/>
      <c r="AR763" s="39"/>
      <c r="AS763" s="39"/>
      <c r="AT763" s="39"/>
      <c r="AU763" s="39"/>
      <c r="AV763" s="39"/>
      <c r="AW763" s="39"/>
      <c r="AX763" s="39"/>
      <c r="AY763" s="39"/>
      <c r="AZ763" s="39"/>
      <c r="BA763" s="39"/>
      <c r="BB763" s="39"/>
      <c r="BC763" s="39"/>
      <c r="BD763" s="39"/>
      <c r="BE763" s="39"/>
      <c r="BF763" s="39"/>
      <c r="BG763" s="39"/>
      <c r="BH763" s="39"/>
      <c r="BI763" s="39"/>
      <c r="BJ763" s="39"/>
      <c r="BK763" s="39"/>
      <c r="BL763" s="39"/>
      <c r="BM763" s="39"/>
    </row>
    <row r="764" spans="1:65" x14ac:dyDescent="0.15">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c r="AM764" s="39"/>
      <c r="AN764" s="39"/>
      <c r="AO764" s="39"/>
      <c r="AP764" s="39"/>
      <c r="AQ764" s="39"/>
      <c r="AR764" s="39"/>
      <c r="AS764" s="39"/>
      <c r="AT764" s="39"/>
      <c r="AU764" s="39"/>
      <c r="AV764" s="39"/>
      <c r="AW764" s="39"/>
      <c r="AX764" s="39"/>
      <c r="AY764" s="39"/>
      <c r="AZ764" s="39"/>
      <c r="BA764" s="39"/>
      <c r="BB764" s="39"/>
      <c r="BC764" s="39"/>
      <c r="BD764" s="39"/>
      <c r="BE764" s="39"/>
      <c r="BF764" s="39"/>
      <c r="BG764" s="39"/>
      <c r="BH764" s="39"/>
      <c r="BI764" s="39"/>
      <c r="BJ764" s="39"/>
      <c r="BK764" s="39"/>
      <c r="BL764" s="39"/>
      <c r="BM764" s="39"/>
    </row>
    <row r="765" spans="1:65" x14ac:dyDescent="0.1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c r="AM765" s="39"/>
      <c r="AN765" s="39"/>
      <c r="AO765" s="39"/>
      <c r="AP765" s="39"/>
      <c r="AQ765" s="39"/>
      <c r="AR765" s="39"/>
      <c r="AS765" s="39"/>
      <c r="AT765" s="39"/>
      <c r="AU765" s="39"/>
      <c r="AV765" s="39"/>
      <c r="AW765" s="39"/>
      <c r="AX765" s="39"/>
      <c r="AY765" s="39"/>
      <c r="AZ765" s="39"/>
      <c r="BA765" s="39"/>
      <c r="BB765" s="39"/>
      <c r="BC765" s="39"/>
      <c r="BD765" s="39"/>
      <c r="BE765" s="39"/>
      <c r="BF765" s="39"/>
      <c r="BG765" s="39"/>
      <c r="BH765" s="39"/>
      <c r="BI765" s="39"/>
      <c r="BJ765" s="39"/>
      <c r="BK765" s="39"/>
      <c r="BL765" s="39"/>
      <c r="BM765" s="39"/>
    </row>
    <row r="766" spans="1:65" x14ac:dyDescent="0.15">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c r="AP766" s="39"/>
      <c r="AQ766" s="39"/>
      <c r="AR766" s="39"/>
      <c r="AS766" s="39"/>
      <c r="AT766" s="39"/>
      <c r="AU766" s="39"/>
      <c r="AV766" s="39"/>
      <c r="AW766" s="39"/>
      <c r="AX766" s="39"/>
      <c r="AY766" s="39"/>
      <c r="AZ766" s="39"/>
      <c r="BA766" s="39"/>
      <c r="BB766" s="39"/>
      <c r="BC766" s="39"/>
      <c r="BD766" s="39"/>
      <c r="BE766" s="39"/>
      <c r="BF766" s="39"/>
      <c r="BG766" s="39"/>
      <c r="BH766" s="39"/>
      <c r="BI766" s="39"/>
      <c r="BJ766" s="39"/>
      <c r="BK766" s="39"/>
      <c r="BL766" s="39"/>
      <c r="BM766" s="39"/>
    </row>
    <row r="767" spans="1:65" x14ac:dyDescent="0.15">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c r="AM767" s="39"/>
      <c r="AN767" s="39"/>
      <c r="AO767" s="39"/>
      <c r="AP767" s="39"/>
      <c r="AQ767" s="39"/>
      <c r="AR767" s="39"/>
      <c r="AS767" s="39"/>
      <c r="AT767" s="39"/>
      <c r="AU767" s="39"/>
      <c r="AV767" s="39"/>
      <c r="AW767" s="39"/>
      <c r="AX767" s="39"/>
      <c r="AY767" s="39"/>
      <c r="AZ767" s="39"/>
      <c r="BA767" s="39"/>
      <c r="BB767" s="39"/>
      <c r="BC767" s="39"/>
      <c r="BD767" s="39"/>
      <c r="BE767" s="39"/>
      <c r="BF767" s="39"/>
      <c r="BG767" s="39"/>
      <c r="BH767" s="39"/>
      <c r="BI767" s="39"/>
      <c r="BJ767" s="39"/>
      <c r="BK767" s="39"/>
      <c r="BL767" s="39"/>
      <c r="BM767" s="39"/>
    </row>
    <row r="768" spans="1:65" x14ac:dyDescent="0.15">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c r="AM768" s="39"/>
      <c r="AN768" s="39"/>
      <c r="AO768" s="39"/>
      <c r="AP768" s="39"/>
      <c r="AQ768" s="39"/>
      <c r="AR768" s="39"/>
      <c r="AS768" s="39"/>
      <c r="AT768" s="39"/>
      <c r="AU768" s="39"/>
      <c r="AV768" s="39"/>
      <c r="AW768" s="39"/>
      <c r="AX768" s="39"/>
      <c r="AY768" s="39"/>
      <c r="AZ768" s="39"/>
      <c r="BA768" s="39"/>
      <c r="BB768" s="39"/>
      <c r="BC768" s="39"/>
      <c r="BD768" s="39"/>
      <c r="BE768" s="39"/>
      <c r="BF768" s="39"/>
      <c r="BG768" s="39"/>
      <c r="BH768" s="39"/>
      <c r="BI768" s="39"/>
      <c r="BJ768" s="39"/>
      <c r="BK768" s="39"/>
      <c r="BL768" s="39"/>
      <c r="BM768" s="39"/>
    </row>
    <row r="769" spans="1:65" x14ac:dyDescent="0.15">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c r="AR769" s="39"/>
      <c r="AS769" s="39"/>
      <c r="AT769" s="39"/>
      <c r="AU769" s="39"/>
      <c r="AV769" s="39"/>
      <c r="AW769" s="39"/>
      <c r="AX769" s="39"/>
      <c r="AY769" s="39"/>
      <c r="AZ769" s="39"/>
      <c r="BA769" s="39"/>
      <c r="BB769" s="39"/>
      <c r="BC769" s="39"/>
      <c r="BD769" s="39"/>
      <c r="BE769" s="39"/>
      <c r="BF769" s="39"/>
      <c r="BG769" s="39"/>
      <c r="BH769" s="39"/>
      <c r="BI769" s="39"/>
      <c r="BJ769" s="39"/>
      <c r="BK769" s="39"/>
      <c r="BL769" s="39"/>
      <c r="BM769" s="39"/>
    </row>
    <row r="770" spans="1:65" x14ac:dyDescent="0.15">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c r="AM770" s="39"/>
      <c r="AN770" s="39"/>
      <c r="AO770" s="39"/>
      <c r="AP770" s="39"/>
      <c r="AQ770" s="39"/>
      <c r="AR770" s="39"/>
      <c r="AS770" s="39"/>
      <c r="AT770" s="39"/>
      <c r="AU770" s="39"/>
      <c r="AV770" s="39"/>
      <c r="AW770" s="39"/>
      <c r="AX770" s="39"/>
      <c r="AY770" s="39"/>
      <c r="AZ770" s="39"/>
      <c r="BA770" s="39"/>
      <c r="BB770" s="39"/>
      <c r="BC770" s="39"/>
      <c r="BD770" s="39"/>
      <c r="BE770" s="39"/>
      <c r="BF770" s="39"/>
      <c r="BG770" s="39"/>
      <c r="BH770" s="39"/>
      <c r="BI770" s="39"/>
      <c r="BJ770" s="39"/>
      <c r="BK770" s="39"/>
      <c r="BL770" s="39"/>
      <c r="BM770" s="39"/>
    </row>
    <row r="771" spans="1:65" x14ac:dyDescent="0.15">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c r="AM771" s="39"/>
      <c r="AN771" s="39"/>
      <c r="AO771" s="39"/>
      <c r="AP771" s="39"/>
      <c r="AQ771" s="39"/>
      <c r="AR771" s="39"/>
      <c r="AS771" s="39"/>
      <c r="AT771" s="39"/>
      <c r="AU771" s="39"/>
      <c r="AV771" s="39"/>
      <c r="AW771" s="39"/>
      <c r="AX771" s="39"/>
      <c r="AY771" s="39"/>
      <c r="AZ771" s="39"/>
      <c r="BA771" s="39"/>
      <c r="BB771" s="39"/>
      <c r="BC771" s="39"/>
      <c r="BD771" s="39"/>
      <c r="BE771" s="39"/>
      <c r="BF771" s="39"/>
      <c r="BG771" s="39"/>
      <c r="BH771" s="39"/>
      <c r="BI771" s="39"/>
      <c r="BJ771" s="39"/>
      <c r="BK771" s="39"/>
      <c r="BL771" s="39"/>
      <c r="BM771" s="39"/>
    </row>
    <row r="772" spans="1:65" x14ac:dyDescent="0.15">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c r="AM772" s="39"/>
      <c r="AN772" s="39"/>
      <c r="AO772" s="39"/>
      <c r="AP772" s="39"/>
      <c r="AQ772" s="39"/>
      <c r="AR772" s="39"/>
      <c r="AS772" s="39"/>
      <c r="AT772" s="39"/>
      <c r="AU772" s="39"/>
      <c r="AV772" s="39"/>
      <c r="AW772" s="39"/>
      <c r="AX772" s="39"/>
      <c r="AY772" s="39"/>
      <c r="AZ772" s="39"/>
      <c r="BA772" s="39"/>
      <c r="BB772" s="39"/>
      <c r="BC772" s="39"/>
      <c r="BD772" s="39"/>
      <c r="BE772" s="39"/>
      <c r="BF772" s="39"/>
      <c r="BG772" s="39"/>
      <c r="BH772" s="39"/>
      <c r="BI772" s="39"/>
      <c r="BJ772" s="39"/>
      <c r="BK772" s="39"/>
      <c r="BL772" s="39"/>
      <c r="BM772" s="39"/>
    </row>
    <row r="773" spans="1:65" x14ac:dyDescent="0.15">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c r="AP773" s="39"/>
      <c r="AQ773" s="39"/>
      <c r="AR773" s="39"/>
      <c r="AS773" s="39"/>
      <c r="AT773" s="39"/>
      <c r="AU773" s="39"/>
      <c r="AV773" s="39"/>
      <c r="AW773" s="39"/>
      <c r="AX773" s="39"/>
      <c r="AY773" s="39"/>
      <c r="AZ773" s="39"/>
      <c r="BA773" s="39"/>
      <c r="BB773" s="39"/>
      <c r="BC773" s="39"/>
      <c r="BD773" s="39"/>
      <c r="BE773" s="39"/>
      <c r="BF773" s="39"/>
      <c r="BG773" s="39"/>
      <c r="BH773" s="39"/>
      <c r="BI773" s="39"/>
      <c r="BJ773" s="39"/>
      <c r="BK773" s="39"/>
      <c r="BL773" s="39"/>
      <c r="BM773" s="39"/>
    </row>
    <row r="774" spans="1:65" x14ac:dyDescent="0.15">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c r="AM774" s="39"/>
      <c r="AN774" s="39"/>
      <c r="AO774" s="39"/>
      <c r="AP774" s="39"/>
      <c r="AQ774" s="39"/>
      <c r="AR774" s="39"/>
      <c r="AS774" s="39"/>
      <c r="AT774" s="39"/>
      <c r="AU774" s="39"/>
      <c r="AV774" s="39"/>
      <c r="AW774" s="39"/>
      <c r="AX774" s="39"/>
      <c r="AY774" s="39"/>
      <c r="AZ774" s="39"/>
      <c r="BA774" s="39"/>
      <c r="BB774" s="39"/>
      <c r="BC774" s="39"/>
      <c r="BD774" s="39"/>
      <c r="BE774" s="39"/>
      <c r="BF774" s="39"/>
      <c r="BG774" s="39"/>
      <c r="BH774" s="39"/>
      <c r="BI774" s="39"/>
      <c r="BJ774" s="39"/>
      <c r="BK774" s="39"/>
      <c r="BL774" s="39"/>
      <c r="BM774" s="39"/>
    </row>
    <row r="775" spans="1:65" x14ac:dyDescent="0.1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c r="AM775" s="39"/>
      <c r="AN775" s="39"/>
      <c r="AO775" s="39"/>
      <c r="AP775" s="39"/>
      <c r="AQ775" s="39"/>
      <c r="AR775" s="39"/>
      <c r="AS775" s="39"/>
      <c r="AT775" s="39"/>
      <c r="AU775" s="39"/>
      <c r="AV775" s="39"/>
      <c r="AW775" s="39"/>
      <c r="AX775" s="39"/>
      <c r="AY775" s="39"/>
      <c r="AZ775" s="39"/>
      <c r="BA775" s="39"/>
      <c r="BB775" s="39"/>
      <c r="BC775" s="39"/>
      <c r="BD775" s="39"/>
      <c r="BE775" s="39"/>
      <c r="BF775" s="39"/>
      <c r="BG775" s="39"/>
      <c r="BH775" s="39"/>
      <c r="BI775" s="39"/>
      <c r="BJ775" s="39"/>
      <c r="BK775" s="39"/>
      <c r="BL775" s="39"/>
      <c r="BM775" s="39"/>
    </row>
    <row r="776" spans="1:65" x14ac:dyDescent="0.15">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c r="AM776" s="39"/>
      <c r="AN776" s="39"/>
      <c r="AO776" s="39"/>
      <c r="AP776" s="39"/>
      <c r="AQ776" s="39"/>
      <c r="AR776" s="39"/>
      <c r="AS776" s="39"/>
      <c r="AT776" s="39"/>
      <c r="AU776" s="39"/>
      <c r="AV776" s="39"/>
      <c r="AW776" s="39"/>
      <c r="AX776" s="39"/>
      <c r="AY776" s="39"/>
      <c r="AZ776" s="39"/>
      <c r="BA776" s="39"/>
      <c r="BB776" s="39"/>
      <c r="BC776" s="39"/>
      <c r="BD776" s="39"/>
      <c r="BE776" s="39"/>
      <c r="BF776" s="39"/>
      <c r="BG776" s="39"/>
      <c r="BH776" s="39"/>
      <c r="BI776" s="39"/>
      <c r="BJ776" s="39"/>
      <c r="BK776" s="39"/>
      <c r="BL776" s="39"/>
      <c r="BM776" s="39"/>
    </row>
    <row r="777" spans="1:65" x14ac:dyDescent="0.15">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c r="AM777" s="39"/>
      <c r="AN777" s="39"/>
      <c r="AO777" s="39"/>
      <c r="AP777" s="39"/>
      <c r="AQ777" s="39"/>
      <c r="AR777" s="39"/>
      <c r="AS777" s="39"/>
      <c r="AT777" s="39"/>
      <c r="AU777" s="39"/>
      <c r="AV777" s="39"/>
      <c r="AW777" s="39"/>
      <c r="AX777" s="39"/>
      <c r="AY777" s="39"/>
      <c r="AZ777" s="39"/>
      <c r="BA777" s="39"/>
      <c r="BB777" s="39"/>
      <c r="BC777" s="39"/>
      <c r="BD777" s="39"/>
      <c r="BE777" s="39"/>
      <c r="BF777" s="39"/>
      <c r="BG777" s="39"/>
      <c r="BH777" s="39"/>
      <c r="BI777" s="39"/>
      <c r="BJ777" s="39"/>
      <c r="BK777" s="39"/>
      <c r="BL777" s="39"/>
      <c r="BM777" s="39"/>
    </row>
    <row r="778" spans="1:65" x14ac:dyDescent="0.15">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c r="AM778" s="39"/>
      <c r="AN778" s="39"/>
      <c r="AO778" s="39"/>
      <c r="AP778" s="39"/>
      <c r="AQ778" s="39"/>
      <c r="AR778" s="39"/>
      <c r="AS778" s="39"/>
      <c r="AT778" s="39"/>
      <c r="AU778" s="39"/>
      <c r="AV778" s="39"/>
      <c r="AW778" s="39"/>
      <c r="AX778" s="39"/>
      <c r="AY778" s="39"/>
      <c r="AZ778" s="39"/>
      <c r="BA778" s="39"/>
      <c r="BB778" s="39"/>
      <c r="BC778" s="39"/>
      <c r="BD778" s="39"/>
      <c r="BE778" s="39"/>
      <c r="BF778" s="39"/>
      <c r="BG778" s="39"/>
      <c r="BH778" s="39"/>
      <c r="BI778" s="39"/>
      <c r="BJ778" s="39"/>
      <c r="BK778" s="39"/>
      <c r="BL778" s="39"/>
      <c r="BM778" s="39"/>
    </row>
    <row r="779" spans="1:65" x14ac:dyDescent="0.15">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c r="AM779" s="39"/>
      <c r="AN779" s="39"/>
      <c r="AO779" s="39"/>
      <c r="AP779" s="39"/>
      <c r="AQ779" s="39"/>
      <c r="AR779" s="39"/>
      <c r="AS779" s="39"/>
      <c r="AT779" s="39"/>
      <c r="AU779" s="39"/>
      <c r="AV779" s="39"/>
      <c r="AW779" s="39"/>
      <c r="AX779" s="39"/>
      <c r="AY779" s="39"/>
      <c r="AZ779" s="39"/>
      <c r="BA779" s="39"/>
      <c r="BB779" s="39"/>
      <c r="BC779" s="39"/>
      <c r="BD779" s="39"/>
      <c r="BE779" s="39"/>
      <c r="BF779" s="39"/>
      <c r="BG779" s="39"/>
      <c r="BH779" s="39"/>
      <c r="BI779" s="39"/>
      <c r="BJ779" s="39"/>
      <c r="BK779" s="39"/>
      <c r="BL779" s="39"/>
      <c r="BM779" s="39"/>
    </row>
    <row r="780" spans="1:65" x14ac:dyDescent="0.15">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c r="AR780" s="39"/>
      <c r="AS780" s="39"/>
      <c r="AT780" s="39"/>
      <c r="AU780" s="39"/>
      <c r="AV780" s="39"/>
      <c r="AW780" s="39"/>
      <c r="AX780" s="39"/>
      <c r="AY780" s="39"/>
      <c r="AZ780" s="39"/>
      <c r="BA780" s="39"/>
      <c r="BB780" s="39"/>
      <c r="BC780" s="39"/>
      <c r="BD780" s="39"/>
      <c r="BE780" s="39"/>
      <c r="BF780" s="39"/>
      <c r="BG780" s="39"/>
      <c r="BH780" s="39"/>
      <c r="BI780" s="39"/>
      <c r="BJ780" s="39"/>
      <c r="BK780" s="39"/>
      <c r="BL780" s="39"/>
      <c r="BM780" s="39"/>
    </row>
    <row r="781" spans="1:65" x14ac:dyDescent="0.15">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c r="AM781" s="39"/>
      <c r="AN781" s="39"/>
      <c r="AO781" s="39"/>
      <c r="AP781" s="39"/>
      <c r="AQ781" s="39"/>
      <c r="AR781" s="39"/>
      <c r="AS781" s="39"/>
      <c r="AT781" s="39"/>
      <c r="AU781" s="39"/>
      <c r="AV781" s="39"/>
      <c r="AW781" s="39"/>
      <c r="AX781" s="39"/>
      <c r="AY781" s="39"/>
      <c r="AZ781" s="39"/>
      <c r="BA781" s="39"/>
      <c r="BB781" s="39"/>
      <c r="BC781" s="39"/>
      <c r="BD781" s="39"/>
      <c r="BE781" s="39"/>
      <c r="BF781" s="39"/>
      <c r="BG781" s="39"/>
      <c r="BH781" s="39"/>
      <c r="BI781" s="39"/>
      <c r="BJ781" s="39"/>
      <c r="BK781" s="39"/>
      <c r="BL781" s="39"/>
      <c r="BM781" s="39"/>
    </row>
    <row r="782" spans="1:65" x14ac:dyDescent="0.15">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c r="AM782" s="39"/>
      <c r="AN782" s="39"/>
      <c r="AO782" s="39"/>
      <c r="AP782" s="39"/>
      <c r="AQ782" s="39"/>
      <c r="AR782" s="39"/>
      <c r="AS782" s="39"/>
      <c r="AT782" s="39"/>
      <c r="AU782" s="39"/>
      <c r="AV782" s="39"/>
      <c r="AW782" s="39"/>
      <c r="AX782" s="39"/>
      <c r="AY782" s="39"/>
      <c r="AZ782" s="39"/>
      <c r="BA782" s="39"/>
      <c r="BB782" s="39"/>
      <c r="BC782" s="39"/>
      <c r="BD782" s="39"/>
      <c r="BE782" s="39"/>
      <c r="BF782" s="39"/>
      <c r="BG782" s="39"/>
      <c r="BH782" s="39"/>
      <c r="BI782" s="39"/>
      <c r="BJ782" s="39"/>
      <c r="BK782" s="39"/>
      <c r="BL782" s="39"/>
      <c r="BM782" s="39"/>
    </row>
    <row r="783" spans="1:65" x14ac:dyDescent="0.15">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c r="AM783" s="39"/>
      <c r="AN783" s="39"/>
      <c r="AO783" s="39"/>
      <c r="AP783" s="39"/>
      <c r="AQ783" s="39"/>
      <c r="AR783" s="39"/>
      <c r="AS783" s="39"/>
      <c r="AT783" s="39"/>
      <c r="AU783" s="39"/>
      <c r="AV783" s="39"/>
      <c r="AW783" s="39"/>
      <c r="AX783" s="39"/>
      <c r="AY783" s="39"/>
      <c r="AZ783" s="39"/>
      <c r="BA783" s="39"/>
      <c r="BB783" s="39"/>
      <c r="BC783" s="39"/>
      <c r="BD783" s="39"/>
      <c r="BE783" s="39"/>
      <c r="BF783" s="39"/>
      <c r="BG783" s="39"/>
      <c r="BH783" s="39"/>
      <c r="BI783" s="39"/>
      <c r="BJ783" s="39"/>
      <c r="BK783" s="39"/>
      <c r="BL783" s="39"/>
      <c r="BM783" s="39"/>
    </row>
    <row r="784" spans="1:65" x14ac:dyDescent="0.15">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c r="AP784" s="39"/>
      <c r="AQ784" s="39"/>
      <c r="AR784" s="39"/>
      <c r="AS784" s="39"/>
      <c r="AT784" s="39"/>
      <c r="AU784" s="39"/>
      <c r="AV784" s="39"/>
      <c r="AW784" s="39"/>
      <c r="AX784" s="39"/>
      <c r="AY784" s="39"/>
      <c r="AZ784" s="39"/>
      <c r="BA784" s="39"/>
      <c r="BB784" s="39"/>
      <c r="BC784" s="39"/>
      <c r="BD784" s="39"/>
      <c r="BE784" s="39"/>
      <c r="BF784" s="39"/>
      <c r="BG784" s="39"/>
      <c r="BH784" s="39"/>
      <c r="BI784" s="39"/>
      <c r="BJ784" s="39"/>
      <c r="BK784" s="39"/>
      <c r="BL784" s="39"/>
      <c r="BM784" s="39"/>
    </row>
    <row r="785" spans="1:65" x14ac:dyDescent="0.1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c r="AM785" s="39"/>
      <c r="AN785" s="39"/>
      <c r="AO785" s="39"/>
      <c r="AP785" s="39"/>
      <c r="AQ785" s="39"/>
      <c r="AR785" s="39"/>
      <c r="AS785" s="39"/>
      <c r="AT785" s="39"/>
      <c r="AU785" s="39"/>
      <c r="AV785" s="39"/>
      <c r="AW785" s="39"/>
      <c r="AX785" s="39"/>
      <c r="AY785" s="39"/>
      <c r="AZ785" s="39"/>
      <c r="BA785" s="39"/>
      <c r="BB785" s="39"/>
      <c r="BC785" s="39"/>
      <c r="BD785" s="39"/>
      <c r="BE785" s="39"/>
      <c r="BF785" s="39"/>
      <c r="BG785" s="39"/>
      <c r="BH785" s="39"/>
      <c r="BI785" s="39"/>
      <c r="BJ785" s="39"/>
      <c r="BK785" s="39"/>
      <c r="BL785" s="39"/>
      <c r="BM785" s="39"/>
    </row>
    <row r="786" spans="1:65" x14ac:dyDescent="0.15">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c r="AM786" s="39"/>
      <c r="AN786" s="39"/>
      <c r="AO786" s="39"/>
      <c r="AP786" s="39"/>
      <c r="AQ786" s="39"/>
      <c r="AR786" s="39"/>
      <c r="AS786" s="39"/>
      <c r="AT786" s="39"/>
      <c r="AU786" s="39"/>
      <c r="AV786" s="39"/>
      <c r="AW786" s="39"/>
      <c r="AX786" s="39"/>
      <c r="AY786" s="39"/>
      <c r="AZ786" s="39"/>
      <c r="BA786" s="39"/>
      <c r="BB786" s="39"/>
      <c r="BC786" s="39"/>
      <c r="BD786" s="39"/>
      <c r="BE786" s="39"/>
      <c r="BF786" s="39"/>
      <c r="BG786" s="39"/>
      <c r="BH786" s="39"/>
      <c r="BI786" s="39"/>
      <c r="BJ786" s="39"/>
      <c r="BK786" s="39"/>
      <c r="BL786" s="39"/>
      <c r="BM786" s="39"/>
    </row>
    <row r="787" spans="1:65" x14ac:dyDescent="0.15">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c r="AM787" s="39"/>
      <c r="AN787" s="39"/>
      <c r="AO787" s="39"/>
      <c r="AP787" s="39"/>
      <c r="AQ787" s="39"/>
      <c r="AR787" s="39"/>
      <c r="AS787" s="39"/>
      <c r="AT787" s="39"/>
      <c r="AU787" s="39"/>
      <c r="AV787" s="39"/>
      <c r="AW787" s="39"/>
      <c r="AX787" s="39"/>
      <c r="AY787" s="39"/>
      <c r="AZ787" s="39"/>
      <c r="BA787" s="39"/>
      <c r="BB787" s="39"/>
      <c r="BC787" s="39"/>
      <c r="BD787" s="39"/>
      <c r="BE787" s="39"/>
      <c r="BF787" s="39"/>
      <c r="BG787" s="39"/>
      <c r="BH787" s="39"/>
      <c r="BI787" s="39"/>
      <c r="BJ787" s="39"/>
      <c r="BK787" s="39"/>
      <c r="BL787" s="39"/>
      <c r="BM787" s="39"/>
    </row>
    <row r="788" spans="1:65" x14ac:dyDescent="0.15">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c r="AM788" s="39"/>
      <c r="AN788" s="39"/>
      <c r="AO788" s="39"/>
      <c r="AP788" s="39"/>
      <c r="AQ788" s="39"/>
      <c r="AR788" s="39"/>
      <c r="AS788" s="39"/>
      <c r="AT788" s="39"/>
      <c r="AU788" s="39"/>
      <c r="AV788" s="39"/>
      <c r="AW788" s="39"/>
      <c r="AX788" s="39"/>
      <c r="AY788" s="39"/>
      <c r="AZ788" s="39"/>
      <c r="BA788" s="39"/>
      <c r="BB788" s="39"/>
      <c r="BC788" s="39"/>
      <c r="BD788" s="39"/>
      <c r="BE788" s="39"/>
      <c r="BF788" s="39"/>
      <c r="BG788" s="39"/>
      <c r="BH788" s="39"/>
      <c r="BI788" s="39"/>
      <c r="BJ788" s="39"/>
      <c r="BK788" s="39"/>
      <c r="BL788" s="39"/>
      <c r="BM788" s="39"/>
    </row>
    <row r="789" spans="1:65" x14ac:dyDescent="0.15">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c r="AM789" s="39"/>
      <c r="AN789" s="39"/>
      <c r="AO789" s="39"/>
      <c r="AP789" s="39"/>
      <c r="AQ789" s="39"/>
      <c r="AR789" s="39"/>
      <c r="AS789" s="39"/>
      <c r="AT789" s="39"/>
      <c r="AU789" s="39"/>
      <c r="AV789" s="39"/>
      <c r="AW789" s="39"/>
      <c r="AX789" s="39"/>
      <c r="AY789" s="39"/>
      <c r="AZ789" s="39"/>
      <c r="BA789" s="39"/>
      <c r="BB789" s="39"/>
      <c r="BC789" s="39"/>
      <c r="BD789" s="39"/>
      <c r="BE789" s="39"/>
      <c r="BF789" s="39"/>
      <c r="BG789" s="39"/>
      <c r="BH789" s="39"/>
      <c r="BI789" s="39"/>
      <c r="BJ789" s="39"/>
      <c r="BK789" s="39"/>
      <c r="BL789" s="39"/>
      <c r="BM789" s="39"/>
    </row>
    <row r="790" spans="1:65" x14ac:dyDescent="0.15">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c r="AM790" s="39"/>
      <c r="AN790" s="39"/>
      <c r="AO790" s="39"/>
      <c r="AP790" s="39"/>
      <c r="AQ790" s="39"/>
      <c r="AR790" s="39"/>
      <c r="AS790" s="39"/>
      <c r="AT790" s="39"/>
      <c r="AU790" s="39"/>
      <c r="AV790" s="39"/>
      <c r="AW790" s="39"/>
      <c r="AX790" s="39"/>
      <c r="AY790" s="39"/>
      <c r="AZ790" s="39"/>
      <c r="BA790" s="39"/>
      <c r="BB790" s="39"/>
      <c r="BC790" s="39"/>
      <c r="BD790" s="39"/>
      <c r="BE790" s="39"/>
      <c r="BF790" s="39"/>
      <c r="BG790" s="39"/>
      <c r="BH790" s="39"/>
      <c r="BI790" s="39"/>
      <c r="BJ790" s="39"/>
      <c r="BK790" s="39"/>
      <c r="BL790" s="39"/>
      <c r="BM790" s="39"/>
    </row>
    <row r="791" spans="1:65" x14ac:dyDescent="0.15">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B791" s="39"/>
      <c r="BC791" s="39"/>
      <c r="BD791" s="39"/>
      <c r="BE791" s="39"/>
      <c r="BF791" s="39"/>
      <c r="BG791" s="39"/>
      <c r="BH791" s="39"/>
      <c r="BI791" s="39"/>
      <c r="BJ791" s="39"/>
      <c r="BK791" s="39"/>
      <c r="BL791" s="39"/>
      <c r="BM791" s="39"/>
    </row>
    <row r="792" spans="1:65" x14ac:dyDescent="0.15">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c r="AM792" s="39"/>
      <c r="AN792" s="39"/>
      <c r="AO792" s="39"/>
      <c r="AP792" s="39"/>
      <c r="AQ792" s="39"/>
      <c r="AR792" s="39"/>
      <c r="AS792" s="39"/>
      <c r="AT792" s="39"/>
      <c r="AU792" s="39"/>
      <c r="AV792" s="39"/>
      <c r="AW792" s="39"/>
      <c r="AX792" s="39"/>
      <c r="AY792" s="39"/>
      <c r="AZ792" s="39"/>
      <c r="BA792" s="39"/>
      <c r="BB792" s="39"/>
      <c r="BC792" s="39"/>
      <c r="BD792" s="39"/>
      <c r="BE792" s="39"/>
      <c r="BF792" s="39"/>
      <c r="BG792" s="39"/>
      <c r="BH792" s="39"/>
      <c r="BI792" s="39"/>
      <c r="BJ792" s="39"/>
      <c r="BK792" s="39"/>
      <c r="BL792" s="39"/>
      <c r="BM792" s="39"/>
    </row>
    <row r="793" spans="1:65" x14ac:dyDescent="0.15">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c r="AM793" s="39"/>
      <c r="AN793" s="39"/>
      <c r="AO793" s="39"/>
      <c r="AP793" s="39"/>
      <c r="AQ793" s="39"/>
      <c r="AR793" s="39"/>
      <c r="AS793" s="39"/>
      <c r="AT793" s="39"/>
      <c r="AU793" s="39"/>
      <c r="AV793" s="39"/>
      <c r="AW793" s="39"/>
      <c r="AX793" s="39"/>
      <c r="AY793" s="39"/>
      <c r="AZ793" s="39"/>
      <c r="BA793" s="39"/>
      <c r="BB793" s="39"/>
      <c r="BC793" s="39"/>
      <c r="BD793" s="39"/>
      <c r="BE793" s="39"/>
      <c r="BF793" s="39"/>
      <c r="BG793" s="39"/>
      <c r="BH793" s="39"/>
      <c r="BI793" s="39"/>
      <c r="BJ793" s="39"/>
      <c r="BK793" s="39"/>
      <c r="BL793" s="39"/>
      <c r="BM793" s="39"/>
    </row>
    <row r="794" spans="1:65" x14ac:dyDescent="0.15">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c r="AM794" s="39"/>
      <c r="AN794" s="39"/>
      <c r="AO794" s="39"/>
      <c r="AP794" s="39"/>
      <c r="AQ794" s="39"/>
      <c r="AR794" s="39"/>
      <c r="AS794" s="39"/>
      <c r="AT794" s="39"/>
      <c r="AU794" s="39"/>
      <c r="AV794" s="39"/>
      <c r="AW794" s="39"/>
      <c r="AX794" s="39"/>
      <c r="AY794" s="39"/>
      <c r="AZ794" s="39"/>
      <c r="BA794" s="39"/>
      <c r="BB794" s="39"/>
      <c r="BC794" s="39"/>
      <c r="BD794" s="39"/>
      <c r="BE794" s="39"/>
      <c r="BF794" s="39"/>
      <c r="BG794" s="39"/>
      <c r="BH794" s="39"/>
      <c r="BI794" s="39"/>
      <c r="BJ794" s="39"/>
      <c r="BK794" s="39"/>
      <c r="BL794" s="39"/>
      <c r="BM794" s="39"/>
    </row>
    <row r="795" spans="1:65" x14ac:dyDescent="0.1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c r="AP795" s="39"/>
      <c r="AQ795" s="39"/>
      <c r="AR795" s="39"/>
      <c r="AS795" s="39"/>
      <c r="AT795" s="39"/>
      <c r="AU795" s="39"/>
      <c r="AV795" s="39"/>
      <c r="AW795" s="39"/>
      <c r="AX795" s="39"/>
      <c r="AY795" s="39"/>
      <c r="AZ795" s="39"/>
      <c r="BA795" s="39"/>
      <c r="BB795" s="39"/>
      <c r="BC795" s="39"/>
      <c r="BD795" s="39"/>
      <c r="BE795" s="39"/>
      <c r="BF795" s="39"/>
      <c r="BG795" s="39"/>
      <c r="BH795" s="39"/>
      <c r="BI795" s="39"/>
      <c r="BJ795" s="39"/>
      <c r="BK795" s="39"/>
      <c r="BL795" s="39"/>
      <c r="BM795" s="39"/>
    </row>
    <row r="796" spans="1:65" x14ac:dyDescent="0.15">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c r="AM796" s="39"/>
      <c r="AN796" s="39"/>
      <c r="AO796" s="39"/>
      <c r="AP796" s="39"/>
      <c r="AQ796" s="39"/>
      <c r="AR796" s="39"/>
      <c r="AS796" s="39"/>
      <c r="AT796" s="39"/>
      <c r="AU796" s="39"/>
      <c r="AV796" s="39"/>
      <c r="AW796" s="39"/>
      <c r="AX796" s="39"/>
      <c r="AY796" s="39"/>
      <c r="AZ796" s="39"/>
      <c r="BA796" s="39"/>
      <c r="BB796" s="39"/>
      <c r="BC796" s="39"/>
      <c r="BD796" s="39"/>
      <c r="BE796" s="39"/>
      <c r="BF796" s="39"/>
      <c r="BG796" s="39"/>
      <c r="BH796" s="39"/>
      <c r="BI796" s="39"/>
      <c r="BJ796" s="39"/>
      <c r="BK796" s="39"/>
      <c r="BL796" s="39"/>
      <c r="BM796" s="39"/>
    </row>
    <row r="797" spans="1:65" x14ac:dyDescent="0.15">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c r="AR797" s="39"/>
      <c r="AS797" s="39"/>
      <c r="AT797" s="39"/>
      <c r="AU797" s="39"/>
      <c r="AV797" s="39"/>
      <c r="AW797" s="39"/>
      <c r="AX797" s="39"/>
      <c r="AY797" s="39"/>
      <c r="AZ797" s="39"/>
      <c r="BA797" s="39"/>
      <c r="BB797" s="39"/>
      <c r="BC797" s="39"/>
      <c r="BD797" s="39"/>
      <c r="BE797" s="39"/>
      <c r="BF797" s="39"/>
      <c r="BG797" s="39"/>
      <c r="BH797" s="39"/>
      <c r="BI797" s="39"/>
      <c r="BJ797" s="39"/>
      <c r="BK797" s="39"/>
      <c r="BL797" s="39"/>
      <c r="BM797" s="39"/>
    </row>
    <row r="798" spans="1:65" x14ac:dyDescent="0.15">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c r="AM798" s="39"/>
      <c r="AN798" s="39"/>
      <c r="AO798" s="39"/>
      <c r="AP798" s="39"/>
      <c r="AQ798" s="39"/>
      <c r="AR798" s="39"/>
      <c r="AS798" s="39"/>
      <c r="AT798" s="39"/>
      <c r="AU798" s="39"/>
      <c r="AV798" s="39"/>
      <c r="AW798" s="39"/>
      <c r="AX798" s="39"/>
      <c r="AY798" s="39"/>
      <c r="AZ798" s="39"/>
      <c r="BA798" s="39"/>
      <c r="BB798" s="39"/>
      <c r="BC798" s="39"/>
      <c r="BD798" s="39"/>
      <c r="BE798" s="39"/>
      <c r="BF798" s="39"/>
      <c r="BG798" s="39"/>
      <c r="BH798" s="39"/>
      <c r="BI798" s="39"/>
      <c r="BJ798" s="39"/>
      <c r="BK798" s="39"/>
      <c r="BL798" s="39"/>
      <c r="BM798" s="39"/>
    </row>
    <row r="799" spans="1:65" x14ac:dyDescent="0.15">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c r="AM799" s="39"/>
      <c r="AN799" s="39"/>
      <c r="AO799" s="39"/>
      <c r="AP799" s="39"/>
      <c r="AQ799" s="39"/>
      <c r="AR799" s="39"/>
      <c r="AS799" s="39"/>
      <c r="AT799" s="39"/>
      <c r="AU799" s="39"/>
      <c r="AV799" s="39"/>
      <c r="AW799" s="39"/>
      <c r="AX799" s="39"/>
      <c r="AY799" s="39"/>
      <c r="AZ799" s="39"/>
      <c r="BA799" s="39"/>
      <c r="BB799" s="39"/>
      <c r="BC799" s="39"/>
      <c r="BD799" s="39"/>
      <c r="BE799" s="39"/>
      <c r="BF799" s="39"/>
      <c r="BG799" s="39"/>
      <c r="BH799" s="39"/>
      <c r="BI799" s="39"/>
      <c r="BJ799" s="39"/>
      <c r="BK799" s="39"/>
      <c r="BL799" s="39"/>
      <c r="BM799" s="39"/>
    </row>
    <row r="800" spans="1:65" x14ac:dyDescent="0.15">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c r="AM800" s="39"/>
      <c r="AN800" s="39"/>
      <c r="AO800" s="39"/>
      <c r="AP800" s="39"/>
      <c r="AQ800" s="39"/>
      <c r="AR800" s="39"/>
      <c r="AS800" s="39"/>
      <c r="AT800" s="39"/>
      <c r="AU800" s="39"/>
      <c r="AV800" s="39"/>
      <c r="AW800" s="39"/>
      <c r="AX800" s="39"/>
      <c r="AY800" s="39"/>
      <c r="AZ800" s="39"/>
      <c r="BA800" s="39"/>
      <c r="BB800" s="39"/>
      <c r="BC800" s="39"/>
      <c r="BD800" s="39"/>
      <c r="BE800" s="39"/>
      <c r="BF800" s="39"/>
      <c r="BG800" s="39"/>
      <c r="BH800" s="39"/>
      <c r="BI800" s="39"/>
      <c r="BJ800" s="39"/>
      <c r="BK800" s="39"/>
      <c r="BL800" s="39"/>
      <c r="BM800" s="39"/>
    </row>
    <row r="801" spans="1:65" x14ac:dyDescent="0.15">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c r="AM801" s="39"/>
      <c r="AN801" s="39"/>
      <c r="AO801" s="39"/>
      <c r="AP801" s="39"/>
      <c r="AQ801" s="39"/>
      <c r="AR801" s="39"/>
      <c r="AS801" s="39"/>
      <c r="AT801" s="39"/>
      <c r="AU801" s="39"/>
      <c r="AV801" s="39"/>
      <c r="AW801" s="39"/>
      <c r="AX801" s="39"/>
      <c r="AY801" s="39"/>
      <c r="AZ801" s="39"/>
      <c r="BA801" s="39"/>
      <c r="BB801" s="39"/>
      <c r="BC801" s="39"/>
      <c r="BD801" s="39"/>
      <c r="BE801" s="39"/>
      <c r="BF801" s="39"/>
      <c r="BG801" s="39"/>
      <c r="BH801" s="39"/>
      <c r="BI801" s="39"/>
      <c r="BJ801" s="39"/>
      <c r="BK801" s="39"/>
      <c r="BL801" s="39"/>
      <c r="BM801" s="39"/>
    </row>
    <row r="802" spans="1:65" x14ac:dyDescent="0.15">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c r="AR802" s="39"/>
      <c r="AS802" s="39"/>
      <c r="AT802" s="39"/>
      <c r="AU802" s="39"/>
      <c r="AV802" s="39"/>
      <c r="AW802" s="39"/>
      <c r="AX802" s="39"/>
      <c r="AY802" s="39"/>
      <c r="AZ802" s="39"/>
      <c r="BA802" s="39"/>
      <c r="BB802" s="39"/>
      <c r="BC802" s="39"/>
      <c r="BD802" s="39"/>
      <c r="BE802" s="39"/>
      <c r="BF802" s="39"/>
      <c r="BG802" s="39"/>
      <c r="BH802" s="39"/>
      <c r="BI802" s="39"/>
      <c r="BJ802" s="39"/>
      <c r="BK802" s="39"/>
      <c r="BL802" s="39"/>
      <c r="BM802" s="39"/>
    </row>
    <row r="803" spans="1:65" x14ac:dyDescent="0.15">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c r="AM803" s="39"/>
      <c r="AN803" s="39"/>
      <c r="AO803" s="39"/>
      <c r="AP803" s="39"/>
      <c r="AQ803" s="39"/>
      <c r="AR803" s="39"/>
      <c r="AS803" s="39"/>
      <c r="AT803" s="39"/>
      <c r="AU803" s="39"/>
      <c r="AV803" s="39"/>
      <c r="AW803" s="39"/>
      <c r="AX803" s="39"/>
      <c r="AY803" s="39"/>
      <c r="AZ803" s="39"/>
      <c r="BA803" s="39"/>
      <c r="BB803" s="39"/>
      <c r="BC803" s="39"/>
      <c r="BD803" s="39"/>
      <c r="BE803" s="39"/>
      <c r="BF803" s="39"/>
      <c r="BG803" s="39"/>
      <c r="BH803" s="39"/>
      <c r="BI803" s="39"/>
      <c r="BJ803" s="39"/>
      <c r="BK803" s="39"/>
      <c r="BL803" s="39"/>
      <c r="BM803" s="39"/>
    </row>
    <row r="804" spans="1:65" x14ac:dyDescent="0.15">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c r="AM804" s="39"/>
      <c r="AN804" s="39"/>
      <c r="AO804" s="39"/>
      <c r="AP804" s="39"/>
      <c r="AQ804" s="39"/>
      <c r="AR804" s="39"/>
      <c r="AS804" s="39"/>
      <c r="AT804" s="39"/>
      <c r="AU804" s="39"/>
      <c r="AV804" s="39"/>
      <c r="AW804" s="39"/>
      <c r="AX804" s="39"/>
      <c r="AY804" s="39"/>
      <c r="AZ804" s="39"/>
      <c r="BA804" s="39"/>
      <c r="BB804" s="39"/>
      <c r="BC804" s="39"/>
      <c r="BD804" s="39"/>
      <c r="BE804" s="39"/>
      <c r="BF804" s="39"/>
      <c r="BG804" s="39"/>
      <c r="BH804" s="39"/>
      <c r="BI804" s="39"/>
      <c r="BJ804" s="39"/>
      <c r="BK804" s="39"/>
      <c r="BL804" s="39"/>
      <c r="BM804" s="39"/>
    </row>
    <row r="805" spans="1:65" x14ac:dyDescent="0.1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c r="AM805" s="39"/>
      <c r="AN805" s="39"/>
      <c r="AO805" s="39"/>
      <c r="AP805" s="39"/>
      <c r="AQ805" s="39"/>
      <c r="AR805" s="39"/>
      <c r="AS805" s="39"/>
      <c r="AT805" s="39"/>
      <c r="AU805" s="39"/>
      <c r="AV805" s="39"/>
      <c r="AW805" s="39"/>
      <c r="AX805" s="39"/>
      <c r="AY805" s="39"/>
      <c r="AZ805" s="39"/>
      <c r="BA805" s="39"/>
      <c r="BB805" s="39"/>
      <c r="BC805" s="39"/>
      <c r="BD805" s="39"/>
      <c r="BE805" s="39"/>
      <c r="BF805" s="39"/>
      <c r="BG805" s="39"/>
      <c r="BH805" s="39"/>
      <c r="BI805" s="39"/>
      <c r="BJ805" s="39"/>
      <c r="BK805" s="39"/>
      <c r="BL805" s="39"/>
      <c r="BM805" s="39"/>
    </row>
    <row r="806" spans="1:65" x14ac:dyDescent="0.15">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c r="AP806" s="39"/>
      <c r="AQ806" s="39"/>
      <c r="AR806" s="39"/>
      <c r="AS806" s="39"/>
      <c r="AT806" s="39"/>
      <c r="AU806" s="39"/>
      <c r="AV806" s="39"/>
      <c r="AW806" s="39"/>
      <c r="AX806" s="39"/>
      <c r="AY806" s="39"/>
      <c r="AZ806" s="39"/>
      <c r="BA806" s="39"/>
      <c r="BB806" s="39"/>
      <c r="BC806" s="39"/>
      <c r="BD806" s="39"/>
      <c r="BE806" s="39"/>
      <c r="BF806" s="39"/>
      <c r="BG806" s="39"/>
      <c r="BH806" s="39"/>
      <c r="BI806" s="39"/>
      <c r="BJ806" s="39"/>
      <c r="BK806" s="39"/>
      <c r="BL806" s="39"/>
      <c r="BM806" s="39"/>
    </row>
    <row r="807" spans="1:65" x14ac:dyDescent="0.15">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c r="AM807" s="39"/>
      <c r="AN807" s="39"/>
      <c r="AO807" s="39"/>
      <c r="AP807" s="39"/>
      <c r="AQ807" s="39"/>
      <c r="AR807" s="39"/>
      <c r="AS807" s="39"/>
      <c r="AT807" s="39"/>
      <c r="AU807" s="39"/>
      <c r="AV807" s="39"/>
      <c r="AW807" s="39"/>
      <c r="AX807" s="39"/>
      <c r="AY807" s="39"/>
      <c r="AZ807" s="39"/>
      <c r="BA807" s="39"/>
      <c r="BB807" s="39"/>
      <c r="BC807" s="39"/>
      <c r="BD807" s="39"/>
      <c r="BE807" s="39"/>
      <c r="BF807" s="39"/>
      <c r="BG807" s="39"/>
      <c r="BH807" s="39"/>
      <c r="BI807" s="39"/>
      <c r="BJ807" s="39"/>
      <c r="BK807" s="39"/>
      <c r="BL807" s="39"/>
      <c r="BM807" s="39"/>
    </row>
    <row r="808" spans="1:65" x14ac:dyDescent="0.15">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c r="AM808" s="39"/>
      <c r="AN808" s="39"/>
      <c r="AO808" s="39"/>
      <c r="AP808" s="39"/>
      <c r="AQ808" s="39"/>
      <c r="AR808" s="39"/>
      <c r="AS808" s="39"/>
      <c r="AT808" s="39"/>
      <c r="AU808" s="39"/>
      <c r="AV808" s="39"/>
      <c r="AW808" s="39"/>
      <c r="AX808" s="39"/>
      <c r="AY808" s="39"/>
      <c r="AZ808" s="39"/>
      <c r="BA808" s="39"/>
      <c r="BB808" s="39"/>
      <c r="BC808" s="39"/>
      <c r="BD808" s="39"/>
      <c r="BE808" s="39"/>
      <c r="BF808" s="39"/>
      <c r="BG808" s="39"/>
      <c r="BH808" s="39"/>
      <c r="BI808" s="39"/>
      <c r="BJ808" s="39"/>
      <c r="BK808" s="39"/>
      <c r="BL808" s="39"/>
      <c r="BM808" s="39"/>
    </row>
    <row r="809" spans="1:65" x14ac:dyDescent="0.15">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c r="AR809" s="39"/>
      <c r="AS809" s="39"/>
      <c r="AT809" s="39"/>
      <c r="AU809" s="39"/>
      <c r="AV809" s="39"/>
      <c r="AW809" s="39"/>
      <c r="AX809" s="39"/>
      <c r="AY809" s="39"/>
      <c r="AZ809" s="39"/>
      <c r="BA809" s="39"/>
      <c r="BB809" s="39"/>
      <c r="BC809" s="39"/>
      <c r="BD809" s="39"/>
      <c r="BE809" s="39"/>
      <c r="BF809" s="39"/>
      <c r="BG809" s="39"/>
      <c r="BH809" s="39"/>
      <c r="BI809" s="39"/>
      <c r="BJ809" s="39"/>
      <c r="BK809" s="39"/>
      <c r="BL809" s="39"/>
      <c r="BM809" s="39"/>
    </row>
    <row r="810" spans="1:65" x14ac:dyDescent="0.15">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c r="AM810" s="39"/>
      <c r="AN810" s="39"/>
      <c r="AO810" s="39"/>
      <c r="AP810" s="39"/>
      <c r="AQ810" s="39"/>
      <c r="AR810" s="39"/>
      <c r="AS810" s="39"/>
      <c r="AT810" s="39"/>
      <c r="AU810" s="39"/>
      <c r="AV810" s="39"/>
      <c r="AW810" s="39"/>
      <c r="AX810" s="39"/>
      <c r="AY810" s="39"/>
      <c r="AZ810" s="39"/>
      <c r="BA810" s="39"/>
      <c r="BB810" s="39"/>
      <c r="BC810" s="39"/>
      <c r="BD810" s="39"/>
      <c r="BE810" s="39"/>
      <c r="BF810" s="39"/>
      <c r="BG810" s="39"/>
      <c r="BH810" s="39"/>
      <c r="BI810" s="39"/>
      <c r="BJ810" s="39"/>
      <c r="BK810" s="39"/>
      <c r="BL810" s="39"/>
      <c r="BM810" s="39"/>
    </row>
    <row r="811" spans="1:65" x14ac:dyDescent="0.15">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c r="AM811" s="39"/>
      <c r="AN811" s="39"/>
      <c r="AO811" s="39"/>
      <c r="AP811" s="39"/>
      <c r="AQ811" s="39"/>
      <c r="AR811" s="39"/>
      <c r="AS811" s="39"/>
      <c r="AT811" s="39"/>
      <c r="AU811" s="39"/>
      <c r="AV811" s="39"/>
      <c r="AW811" s="39"/>
      <c r="AX811" s="39"/>
      <c r="AY811" s="39"/>
      <c r="AZ811" s="39"/>
      <c r="BA811" s="39"/>
      <c r="BB811" s="39"/>
      <c r="BC811" s="39"/>
      <c r="BD811" s="39"/>
      <c r="BE811" s="39"/>
      <c r="BF811" s="39"/>
      <c r="BG811" s="39"/>
      <c r="BH811" s="39"/>
      <c r="BI811" s="39"/>
      <c r="BJ811" s="39"/>
      <c r="BK811" s="39"/>
      <c r="BL811" s="39"/>
      <c r="BM811" s="39"/>
    </row>
    <row r="812" spans="1:65" x14ac:dyDescent="0.15">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c r="AP812" s="39"/>
      <c r="AQ812" s="39"/>
      <c r="AR812" s="39"/>
      <c r="AS812" s="39"/>
      <c r="AT812" s="39"/>
      <c r="AU812" s="39"/>
      <c r="AV812" s="39"/>
      <c r="AW812" s="39"/>
      <c r="AX812" s="39"/>
      <c r="AY812" s="39"/>
      <c r="AZ812" s="39"/>
      <c r="BA812" s="39"/>
      <c r="BB812" s="39"/>
      <c r="BC812" s="39"/>
      <c r="BD812" s="39"/>
      <c r="BE812" s="39"/>
      <c r="BF812" s="39"/>
      <c r="BG812" s="39"/>
      <c r="BH812" s="39"/>
      <c r="BI812" s="39"/>
      <c r="BJ812" s="39"/>
      <c r="BK812" s="39"/>
      <c r="BL812" s="39"/>
      <c r="BM812" s="39"/>
    </row>
    <row r="813" spans="1:65" x14ac:dyDescent="0.15">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c r="AM813" s="39"/>
      <c r="AN813" s="39"/>
      <c r="AO813" s="39"/>
      <c r="AP813" s="39"/>
      <c r="AQ813" s="39"/>
      <c r="AR813" s="39"/>
      <c r="AS813" s="39"/>
      <c r="AT813" s="39"/>
      <c r="AU813" s="39"/>
      <c r="AV813" s="39"/>
      <c r="AW813" s="39"/>
      <c r="AX813" s="39"/>
      <c r="AY813" s="39"/>
      <c r="AZ813" s="39"/>
      <c r="BA813" s="39"/>
      <c r="BB813" s="39"/>
      <c r="BC813" s="39"/>
      <c r="BD813" s="39"/>
      <c r="BE813" s="39"/>
      <c r="BF813" s="39"/>
      <c r="BG813" s="39"/>
      <c r="BH813" s="39"/>
      <c r="BI813" s="39"/>
      <c r="BJ813" s="39"/>
      <c r="BK813" s="39"/>
      <c r="BL813" s="39"/>
      <c r="BM813" s="39"/>
    </row>
    <row r="814" spans="1:65" x14ac:dyDescent="0.15">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c r="AM814" s="39"/>
      <c r="AN814" s="39"/>
      <c r="AO814" s="39"/>
      <c r="AP814" s="39"/>
      <c r="AQ814" s="39"/>
      <c r="AR814" s="39"/>
      <c r="AS814" s="39"/>
      <c r="AT814" s="39"/>
      <c r="AU814" s="39"/>
      <c r="AV814" s="39"/>
      <c r="AW814" s="39"/>
      <c r="AX814" s="39"/>
      <c r="AY814" s="39"/>
      <c r="AZ814" s="39"/>
      <c r="BA814" s="39"/>
      <c r="BB814" s="39"/>
      <c r="BC814" s="39"/>
      <c r="BD814" s="39"/>
      <c r="BE814" s="39"/>
      <c r="BF814" s="39"/>
      <c r="BG814" s="39"/>
      <c r="BH814" s="39"/>
      <c r="BI814" s="39"/>
      <c r="BJ814" s="39"/>
      <c r="BK814" s="39"/>
      <c r="BL814" s="39"/>
      <c r="BM814" s="39"/>
    </row>
    <row r="815" spans="1:65" x14ac:dyDescent="0.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c r="AM815" s="39"/>
      <c r="AN815" s="39"/>
      <c r="AO815" s="39"/>
      <c r="AP815" s="39"/>
      <c r="AQ815" s="39"/>
      <c r="AR815" s="39"/>
      <c r="AS815" s="39"/>
      <c r="AT815" s="39"/>
      <c r="AU815" s="39"/>
      <c r="AV815" s="39"/>
      <c r="AW815" s="39"/>
      <c r="AX815" s="39"/>
      <c r="AY815" s="39"/>
      <c r="AZ815" s="39"/>
      <c r="BA815" s="39"/>
      <c r="BB815" s="39"/>
      <c r="BC815" s="39"/>
      <c r="BD815" s="39"/>
      <c r="BE815" s="39"/>
      <c r="BF815" s="39"/>
      <c r="BG815" s="39"/>
      <c r="BH815" s="39"/>
      <c r="BI815" s="39"/>
      <c r="BJ815" s="39"/>
      <c r="BK815" s="39"/>
      <c r="BL815" s="39"/>
      <c r="BM815" s="39"/>
    </row>
    <row r="816" spans="1:65" x14ac:dyDescent="0.15">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c r="AM816" s="39"/>
      <c r="AN816" s="39"/>
      <c r="AO816" s="39"/>
      <c r="AP816" s="39"/>
      <c r="AQ816" s="39"/>
      <c r="AR816" s="39"/>
      <c r="AS816" s="39"/>
      <c r="AT816" s="39"/>
      <c r="AU816" s="39"/>
      <c r="AV816" s="39"/>
      <c r="AW816" s="39"/>
      <c r="AX816" s="39"/>
      <c r="AY816" s="39"/>
      <c r="AZ816" s="39"/>
      <c r="BA816" s="39"/>
      <c r="BB816" s="39"/>
      <c r="BC816" s="39"/>
      <c r="BD816" s="39"/>
      <c r="BE816" s="39"/>
      <c r="BF816" s="39"/>
      <c r="BG816" s="39"/>
      <c r="BH816" s="39"/>
      <c r="BI816" s="39"/>
      <c r="BJ816" s="39"/>
      <c r="BK816" s="39"/>
      <c r="BL816" s="39"/>
      <c r="BM816" s="39"/>
    </row>
    <row r="817" spans="1:65" x14ac:dyDescent="0.15">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row>
    <row r="818" spans="1:65" x14ac:dyDescent="0.15">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c r="AM818" s="39"/>
      <c r="AN818" s="39"/>
      <c r="AO818" s="39"/>
      <c r="AP818" s="39"/>
      <c r="AQ818" s="39"/>
      <c r="AR818" s="39"/>
      <c r="AS818" s="39"/>
      <c r="AT818" s="39"/>
      <c r="AU818" s="39"/>
      <c r="AV818" s="39"/>
      <c r="AW818" s="39"/>
      <c r="AX818" s="39"/>
      <c r="AY818" s="39"/>
      <c r="AZ818" s="39"/>
      <c r="BA818" s="39"/>
      <c r="BB818" s="39"/>
      <c r="BC818" s="39"/>
      <c r="BD818" s="39"/>
      <c r="BE818" s="39"/>
      <c r="BF818" s="39"/>
      <c r="BG818" s="39"/>
      <c r="BH818" s="39"/>
      <c r="BI818" s="39"/>
      <c r="BJ818" s="39"/>
      <c r="BK818" s="39"/>
      <c r="BL818" s="39"/>
      <c r="BM818" s="39"/>
    </row>
    <row r="819" spans="1:65" x14ac:dyDescent="0.15">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c r="AM819" s="39"/>
      <c r="AN819" s="39"/>
      <c r="AO819" s="39"/>
      <c r="AP819" s="39"/>
      <c r="AQ819" s="39"/>
      <c r="AR819" s="39"/>
      <c r="AS819" s="39"/>
      <c r="AT819" s="39"/>
      <c r="AU819" s="39"/>
      <c r="AV819" s="39"/>
      <c r="AW819" s="39"/>
      <c r="AX819" s="39"/>
      <c r="AY819" s="39"/>
      <c r="AZ819" s="39"/>
      <c r="BA819" s="39"/>
      <c r="BB819" s="39"/>
      <c r="BC819" s="39"/>
      <c r="BD819" s="39"/>
      <c r="BE819" s="39"/>
      <c r="BF819" s="39"/>
      <c r="BG819" s="39"/>
      <c r="BH819" s="39"/>
      <c r="BI819" s="39"/>
      <c r="BJ819" s="39"/>
      <c r="BK819" s="39"/>
      <c r="BL819" s="39"/>
      <c r="BM819" s="39"/>
    </row>
    <row r="820" spans="1:65" x14ac:dyDescent="0.15">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c r="AM820" s="39"/>
      <c r="AN820" s="39"/>
      <c r="AO820" s="39"/>
      <c r="AP820" s="39"/>
      <c r="AQ820" s="39"/>
      <c r="AR820" s="39"/>
      <c r="AS820" s="39"/>
      <c r="AT820" s="39"/>
      <c r="AU820" s="39"/>
      <c r="AV820" s="39"/>
      <c r="AW820" s="39"/>
      <c r="AX820" s="39"/>
      <c r="AY820" s="39"/>
      <c r="AZ820" s="39"/>
      <c r="BA820" s="39"/>
      <c r="BB820" s="39"/>
      <c r="BC820" s="39"/>
      <c r="BD820" s="39"/>
      <c r="BE820" s="39"/>
      <c r="BF820" s="39"/>
      <c r="BG820" s="39"/>
      <c r="BH820" s="39"/>
      <c r="BI820" s="39"/>
      <c r="BJ820" s="39"/>
      <c r="BK820" s="39"/>
      <c r="BL820" s="39"/>
      <c r="BM820" s="39"/>
    </row>
    <row r="821" spans="1:65" x14ac:dyDescent="0.15">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c r="AM821" s="39"/>
      <c r="AN821" s="39"/>
      <c r="AO821" s="39"/>
      <c r="AP821" s="39"/>
      <c r="AQ821" s="39"/>
      <c r="AR821" s="39"/>
      <c r="AS821" s="39"/>
      <c r="AT821" s="39"/>
      <c r="AU821" s="39"/>
      <c r="AV821" s="39"/>
      <c r="AW821" s="39"/>
      <c r="AX821" s="39"/>
      <c r="AY821" s="39"/>
      <c r="AZ821" s="39"/>
      <c r="BA821" s="39"/>
      <c r="BB821" s="39"/>
      <c r="BC821" s="39"/>
      <c r="BD821" s="39"/>
      <c r="BE821" s="39"/>
      <c r="BF821" s="39"/>
      <c r="BG821" s="39"/>
      <c r="BH821" s="39"/>
      <c r="BI821" s="39"/>
      <c r="BJ821" s="39"/>
      <c r="BK821" s="39"/>
      <c r="BL821" s="39"/>
      <c r="BM821" s="39"/>
    </row>
    <row r="822" spans="1:65" x14ac:dyDescent="0.15">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c r="AM822" s="39"/>
      <c r="AN822" s="39"/>
      <c r="AO822" s="39"/>
      <c r="AP822" s="39"/>
      <c r="AQ822" s="39"/>
      <c r="AR822" s="39"/>
      <c r="AS822" s="39"/>
      <c r="AT822" s="39"/>
      <c r="AU822" s="39"/>
      <c r="AV822" s="39"/>
      <c r="AW822" s="39"/>
      <c r="AX822" s="39"/>
      <c r="AY822" s="39"/>
      <c r="AZ822" s="39"/>
      <c r="BA822" s="39"/>
      <c r="BB822" s="39"/>
      <c r="BC822" s="39"/>
      <c r="BD822" s="39"/>
      <c r="BE822" s="39"/>
      <c r="BF822" s="39"/>
      <c r="BG822" s="39"/>
      <c r="BH822" s="39"/>
      <c r="BI822" s="39"/>
      <c r="BJ822" s="39"/>
      <c r="BK822" s="39"/>
      <c r="BL822" s="39"/>
      <c r="BM822" s="39"/>
    </row>
    <row r="823" spans="1:65" x14ac:dyDescent="0.15">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c r="AR823" s="39"/>
      <c r="AS823" s="39"/>
      <c r="AT823" s="39"/>
      <c r="AU823" s="39"/>
      <c r="AV823" s="39"/>
      <c r="AW823" s="39"/>
      <c r="AX823" s="39"/>
      <c r="AY823" s="39"/>
      <c r="AZ823" s="39"/>
      <c r="BA823" s="39"/>
      <c r="BB823" s="39"/>
      <c r="BC823" s="39"/>
      <c r="BD823" s="39"/>
      <c r="BE823" s="39"/>
      <c r="BF823" s="39"/>
      <c r="BG823" s="39"/>
      <c r="BH823" s="39"/>
      <c r="BI823" s="39"/>
      <c r="BJ823" s="39"/>
      <c r="BK823" s="39"/>
      <c r="BL823" s="39"/>
      <c r="BM823" s="39"/>
    </row>
    <row r="824" spans="1:65" x14ac:dyDescent="0.15">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c r="AP824" s="39"/>
      <c r="AQ824" s="39"/>
      <c r="AR824" s="39"/>
      <c r="AS824" s="39"/>
      <c r="AT824" s="39"/>
      <c r="AU824" s="39"/>
      <c r="AV824" s="39"/>
      <c r="AW824" s="39"/>
      <c r="AX824" s="39"/>
      <c r="AY824" s="39"/>
      <c r="AZ824" s="39"/>
      <c r="BA824" s="39"/>
      <c r="BB824" s="39"/>
      <c r="BC824" s="39"/>
      <c r="BD824" s="39"/>
      <c r="BE824" s="39"/>
      <c r="BF824" s="39"/>
      <c r="BG824" s="39"/>
      <c r="BH824" s="39"/>
      <c r="BI824" s="39"/>
      <c r="BJ824" s="39"/>
      <c r="BK824" s="39"/>
      <c r="BL824" s="39"/>
      <c r="BM824" s="39"/>
    </row>
    <row r="825" spans="1:65" x14ac:dyDescent="0.1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c r="AM825" s="39"/>
      <c r="AN825" s="39"/>
      <c r="AO825" s="39"/>
      <c r="AP825" s="39"/>
      <c r="AQ825" s="39"/>
      <c r="AR825" s="39"/>
      <c r="AS825" s="39"/>
      <c r="AT825" s="39"/>
      <c r="AU825" s="39"/>
      <c r="AV825" s="39"/>
      <c r="AW825" s="39"/>
      <c r="AX825" s="39"/>
      <c r="AY825" s="39"/>
      <c r="AZ825" s="39"/>
      <c r="BA825" s="39"/>
      <c r="BB825" s="39"/>
      <c r="BC825" s="39"/>
      <c r="BD825" s="39"/>
      <c r="BE825" s="39"/>
      <c r="BF825" s="39"/>
      <c r="BG825" s="39"/>
      <c r="BH825" s="39"/>
      <c r="BI825" s="39"/>
      <c r="BJ825" s="39"/>
      <c r="BK825" s="39"/>
      <c r="BL825" s="39"/>
      <c r="BM825" s="39"/>
    </row>
    <row r="826" spans="1:65" x14ac:dyDescent="0.15">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c r="AM826" s="39"/>
      <c r="AN826" s="39"/>
      <c r="AO826" s="39"/>
      <c r="AP826" s="39"/>
      <c r="AQ826" s="39"/>
      <c r="AR826" s="39"/>
      <c r="AS826" s="39"/>
      <c r="AT826" s="39"/>
      <c r="AU826" s="39"/>
      <c r="AV826" s="39"/>
      <c r="AW826" s="39"/>
      <c r="AX826" s="39"/>
      <c r="AY826" s="39"/>
      <c r="AZ826" s="39"/>
      <c r="BA826" s="39"/>
      <c r="BB826" s="39"/>
      <c r="BC826" s="39"/>
      <c r="BD826" s="39"/>
      <c r="BE826" s="39"/>
      <c r="BF826" s="39"/>
      <c r="BG826" s="39"/>
      <c r="BH826" s="39"/>
      <c r="BI826" s="39"/>
      <c r="BJ826" s="39"/>
      <c r="BK826" s="39"/>
      <c r="BL826" s="39"/>
      <c r="BM826" s="39"/>
    </row>
    <row r="827" spans="1:65" x14ac:dyDescent="0.15">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c r="AM827" s="39"/>
      <c r="AN827" s="39"/>
      <c r="AO827" s="39"/>
      <c r="AP827" s="39"/>
      <c r="AQ827" s="39"/>
      <c r="AR827" s="39"/>
      <c r="AS827" s="39"/>
      <c r="AT827" s="39"/>
      <c r="AU827" s="39"/>
      <c r="AV827" s="39"/>
      <c r="AW827" s="39"/>
      <c r="AX827" s="39"/>
      <c r="AY827" s="39"/>
      <c r="AZ827" s="39"/>
      <c r="BA827" s="39"/>
      <c r="BB827" s="39"/>
      <c r="BC827" s="39"/>
      <c r="BD827" s="39"/>
      <c r="BE827" s="39"/>
      <c r="BF827" s="39"/>
      <c r="BG827" s="39"/>
      <c r="BH827" s="39"/>
      <c r="BI827" s="39"/>
      <c r="BJ827" s="39"/>
      <c r="BK827" s="39"/>
      <c r="BL827" s="39"/>
      <c r="BM827" s="39"/>
    </row>
    <row r="828" spans="1:65" x14ac:dyDescent="0.15">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c r="AM828" s="39"/>
      <c r="AN828" s="39"/>
      <c r="AO828" s="39"/>
      <c r="AP828" s="39"/>
      <c r="AQ828" s="39"/>
      <c r="AR828" s="39"/>
      <c r="AS828" s="39"/>
      <c r="AT828" s="39"/>
      <c r="AU828" s="39"/>
      <c r="AV828" s="39"/>
      <c r="AW828" s="39"/>
      <c r="AX828" s="39"/>
      <c r="AY828" s="39"/>
      <c r="AZ828" s="39"/>
      <c r="BA828" s="39"/>
      <c r="BB828" s="39"/>
      <c r="BC828" s="39"/>
      <c r="BD828" s="39"/>
      <c r="BE828" s="39"/>
      <c r="BF828" s="39"/>
      <c r="BG828" s="39"/>
      <c r="BH828" s="39"/>
      <c r="BI828" s="39"/>
      <c r="BJ828" s="39"/>
      <c r="BK828" s="39"/>
      <c r="BL828" s="39"/>
      <c r="BM828" s="39"/>
    </row>
    <row r="829" spans="1:65" x14ac:dyDescent="0.15">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c r="AM829" s="39"/>
      <c r="AN829" s="39"/>
      <c r="AO829" s="39"/>
      <c r="AP829" s="39"/>
      <c r="AQ829" s="39"/>
      <c r="AR829" s="39"/>
      <c r="AS829" s="39"/>
      <c r="AT829" s="39"/>
      <c r="AU829" s="39"/>
      <c r="AV829" s="39"/>
      <c r="AW829" s="39"/>
      <c r="AX829" s="39"/>
      <c r="AY829" s="39"/>
      <c r="AZ829" s="39"/>
      <c r="BA829" s="39"/>
      <c r="BB829" s="39"/>
      <c r="BC829" s="39"/>
      <c r="BD829" s="39"/>
      <c r="BE829" s="39"/>
      <c r="BF829" s="39"/>
      <c r="BG829" s="39"/>
      <c r="BH829" s="39"/>
      <c r="BI829" s="39"/>
      <c r="BJ829" s="39"/>
      <c r="BK829" s="39"/>
      <c r="BL829" s="39"/>
      <c r="BM829" s="39"/>
    </row>
    <row r="830" spans="1:65" x14ac:dyDescent="0.15">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B830" s="39"/>
      <c r="BC830" s="39"/>
      <c r="BD830" s="39"/>
      <c r="BE830" s="39"/>
      <c r="BF830" s="39"/>
      <c r="BG830" s="39"/>
      <c r="BH830" s="39"/>
      <c r="BI830" s="39"/>
      <c r="BJ830" s="39"/>
      <c r="BK830" s="39"/>
      <c r="BL830" s="39"/>
      <c r="BM830" s="39"/>
    </row>
    <row r="831" spans="1:65" x14ac:dyDescent="0.15">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c r="AM831" s="39"/>
      <c r="AN831" s="39"/>
      <c r="AO831" s="39"/>
      <c r="AP831" s="39"/>
      <c r="AQ831" s="39"/>
      <c r="AR831" s="39"/>
      <c r="AS831" s="39"/>
      <c r="AT831" s="39"/>
      <c r="AU831" s="39"/>
      <c r="AV831" s="39"/>
      <c r="AW831" s="39"/>
      <c r="AX831" s="39"/>
      <c r="AY831" s="39"/>
      <c r="AZ831" s="39"/>
      <c r="BA831" s="39"/>
      <c r="BB831" s="39"/>
      <c r="BC831" s="39"/>
      <c r="BD831" s="39"/>
      <c r="BE831" s="39"/>
      <c r="BF831" s="39"/>
      <c r="BG831" s="39"/>
      <c r="BH831" s="39"/>
      <c r="BI831" s="39"/>
      <c r="BJ831" s="39"/>
      <c r="BK831" s="39"/>
      <c r="BL831" s="39"/>
      <c r="BM831" s="39"/>
    </row>
    <row r="832" spans="1:65" x14ac:dyDescent="0.15">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c r="AP832" s="39"/>
      <c r="AQ832" s="39"/>
      <c r="AR832" s="39"/>
      <c r="AS832" s="39"/>
      <c r="AT832" s="39"/>
      <c r="AU832" s="39"/>
      <c r="AV832" s="39"/>
      <c r="AW832" s="39"/>
      <c r="AX832" s="39"/>
      <c r="AY832" s="39"/>
      <c r="AZ832" s="39"/>
      <c r="BA832" s="39"/>
      <c r="BB832" s="39"/>
      <c r="BC832" s="39"/>
      <c r="BD832" s="39"/>
      <c r="BE832" s="39"/>
      <c r="BF832" s="39"/>
      <c r="BG832" s="39"/>
      <c r="BH832" s="39"/>
      <c r="BI832" s="39"/>
      <c r="BJ832" s="39"/>
      <c r="BK832" s="39"/>
      <c r="BL832" s="39"/>
      <c r="BM832" s="39"/>
    </row>
    <row r="833" spans="1:65" x14ac:dyDescent="0.15">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c r="AM833" s="39"/>
      <c r="AN833" s="39"/>
      <c r="AO833" s="39"/>
      <c r="AP833" s="39"/>
      <c r="AQ833" s="39"/>
      <c r="AR833" s="39"/>
      <c r="AS833" s="39"/>
      <c r="AT833" s="39"/>
      <c r="AU833" s="39"/>
      <c r="AV833" s="39"/>
      <c r="AW833" s="39"/>
      <c r="AX833" s="39"/>
      <c r="AY833" s="39"/>
      <c r="AZ833" s="39"/>
      <c r="BA833" s="39"/>
      <c r="BB833" s="39"/>
      <c r="BC833" s="39"/>
      <c r="BD833" s="39"/>
      <c r="BE833" s="39"/>
      <c r="BF833" s="39"/>
      <c r="BG833" s="39"/>
      <c r="BH833" s="39"/>
      <c r="BI833" s="39"/>
      <c r="BJ833" s="39"/>
      <c r="BK833" s="39"/>
      <c r="BL833" s="39"/>
      <c r="BM833" s="39"/>
    </row>
    <row r="834" spans="1:65" x14ac:dyDescent="0.15">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c r="AM834" s="39"/>
      <c r="AN834" s="39"/>
      <c r="AO834" s="39"/>
      <c r="AP834" s="39"/>
      <c r="AQ834" s="39"/>
      <c r="AR834" s="39"/>
      <c r="AS834" s="39"/>
      <c r="AT834" s="39"/>
      <c r="AU834" s="39"/>
      <c r="AV834" s="39"/>
      <c r="AW834" s="39"/>
      <c r="AX834" s="39"/>
      <c r="AY834" s="39"/>
      <c r="AZ834" s="39"/>
      <c r="BA834" s="39"/>
      <c r="BB834" s="39"/>
      <c r="BC834" s="39"/>
      <c r="BD834" s="39"/>
      <c r="BE834" s="39"/>
      <c r="BF834" s="39"/>
      <c r="BG834" s="39"/>
      <c r="BH834" s="39"/>
      <c r="BI834" s="39"/>
      <c r="BJ834" s="39"/>
      <c r="BK834" s="39"/>
      <c r="BL834" s="39"/>
      <c r="BM834" s="39"/>
    </row>
    <row r="835" spans="1:65" x14ac:dyDescent="0.1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c r="AM835" s="39"/>
      <c r="AN835" s="39"/>
      <c r="AO835" s="39"/>
      <c r="AP835" s="39"/>
      <c r="AQ835" s="39"/>
      <c r="AR835" s="39"/>
      <c r="AS835" s="39"/>
      <c r="AT835" s="39"/>
      <c r="AU835" s="39"/>
      <c r="AV835" s="39"/>
      <c r="AW835" s="39"/>
      <c r="AX835" s="39"/>
      <c r="AY835" s="39"/>
      <c r="AZ835" s="39"/>
      <c r="BA835" s="39"/>
      <c r="BB835" s="39"/>
      <c r="BC835" s="39"/>
      <c r="BD835" s="39"/>
      <c r="BE835" s="39"/>
      <c r="BF835" s="39"/>
      <c r="BG835" s="39"/>
      <c r="BH835" s="39"/>
      <c r="BI835" s="39"/>
      <c r="BJ835" s="39"/>
      <c r="BK835" s="39"/>
      <c r="BL835" s="39"/>
      <c r="BM835" s="39"/>
    </row>
    <row r="836" spans="1:65" x14ac:dyDescent="0.15">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c r="AR836" s="39"/>
      <c r="AS836" s="39"/>
      <c r="AT836" s="39"/>
      <c r="AU836" s="39"/>
      <c r="AV836" s="39"/>
      <c r="AW836" s="39"/>
      <c r="AX836" s="39"/>
      <c r="AY836" s="39"/>
      <c r="AZ836" s="39"/>
      <c r="BA836" s="39"/>
      <c r="BB836" s="39"/>
      <c r="BC836" s="39"/>
      <c r="BD836" s="39"/>
      <c r="BE836" s="39"/>
      <c r="BF836" s="39"/>
      <c r="BG836" s="39"/>
      <c r="BH836" s="39"/>
      <c r="BI836" s="39"/>
      <c r="BJ836" s="39"/>
      <c r="BK836" s="39"/>
      <c r="BL836" s="39"/>
      <c r="BM836" s="39"/>
    </row>
    <row r="837" spans="1:65" x14ac:dyDescent="0.15">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c r="AM837" s="39"/>
      <c r="AN837" s="39"/>
      <c r="AO837" s="39"/>
      <c r="AP837" s="39"/>
      <c r="AQ837" s="39"/>
      <c r="AR837" s="39"/>
      <c r="AS837" s="39"/>
      <c r="AT837" s="39"/>
      <c r="AU837" s="39"/>
      <c r="AV837" s="39"/>
      <c r="AW837" s="39"/>
      <c r="AX837" s="39"/>
      <c r="AY837" s="39"/>
      <c r="AZ837" s="39"/>
      <c r="BA837" s="39"/>
      <c r="BB837" s="39"/>
      <c r="BC837" s="39"/>
      <c r="BD837" s="39"/>
      <c r="BE837" s="39"/>
      <c r="BF837" s="39"/>
      <c r="BG837" s="39"/>
      <c r="BH837" s="39"/>
      <c r="BI837" s="39"/>
      <c r="BJ837" s="39"/>
      <c r="BK837" s="39"/>
      <c r="BL837" s="39"/>
      <c r="BM837" s="39"/>
    </row>
    <row r="838" spans="1:65" x14ac:dyDescent="0.15">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c r="AP838" s="39"/>
      <c r="AQ838" s="39"/>
      <c r="AR838" s="39"/>
      <c r="AS838" s="39"/>
      <c r="AT838" s="39"/>
      <c r="AU838" s="39"/>
      <c r="AV838" s="39"/>
      <c r="AW838" s="39"/>
      <c r="AX838" s="39"/>
      <c r="AY838" s="39"/>
      <c r="AZ838" s="39"/>
      <c r="BA838" s="39"/>
      <c r="BB838" s="39"/>
      <c r="BC838" s="39"/>
      <c r="BD838" s="39"/>
      <c r="BE838" s="39"/>
      <c r="BF838" s="39"/>
      <c r="BG838" s="39"/>
      <c r="BH838" s="39"/>
      <c r="BI838" s="39"/>
      <c r="BJ838" s="39"/>
      <c r="BK838" s="39"/>
      <c r="BL838" s="39"/>
      <c r="BM838" s="39"/>
    </row>
    <row r="839" spans="1:65" x14ac:dyDescent="0.15">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c r="AM839" s="39"/>
      <c r="AN839" s="39"/>
      <c r="AO839" s="39"/>
      <c r="AP839" s="39"/>
      <c r="AQ839" s="39"/>
      <c r="AR839" s="39"/>
      <c r="AS839" s="39"/>
      <c r="AT839" s="39"/>
      <c r="AU839" s="39"/>
      <c r="AV839" s="39"/>
      <c r="AW839" s="39"/>
      <c r="AX839" s="39"/>
      <c r="AY839" s="39"/>
      <c r="AZ839" s="39"/>
      <c r="BA839" s="39"/>
      <c r="BB839" s="39"/>
      <c r="BC839" s="39"/>
      <c r="BD839" s="39"/>
      <c r="BE839" s="39"/>
      <c r="BF839" s="39"/>
      <c r="BG839" s="39"/>
      <c r="BH839" s="39"/>
      <c r="BI839" s="39"/>
      <c r="BJ839" s="39"/>
      <c r="BK839" s="39"/>
      <c r="BL839" s="39"/>
      <c r="BM839" s="39"/>
    </row>
    <row r="840" spans="1:65" x14ac:dyDescent="0.15">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c r="AM840" s="39"/>
      <c r="AN840" s="39"/>
      <c r="AO840" s="39"/>
      <c r="AP840" s="39"/>
      <c r="AQ840" s="39"/>
      <c r="AR840" s="39"/>
      <c r="AS840" s="39"/>
      <c r="AT840" s="39"/>
      <c r="AU840" s="39"/>
      <c r="AV840" s="39"/>
      <c r="AW840" s="39"/>
      <c r="AX840" s="39"/>
      <c r="AY840" s="39"/>
      <c r="AZ840" s="39"/>
      <c r="BA840" s="39"/>
      <c r="BB840" s="39"/>
      <c r="BC840" s="39"/>
      <c r="BD840" s="39"/>
      <c r="BE840" s="39"/>
      <c r="BF840" s="39"/>
      <c r="BG840" s="39"/>
      <c r="BH840" s="39"/>
      <c r="BI840" s="39"/>
      <c r="BJ840" s="39"/>
      <c r="BK840" s="39"/>
      <c r="BL840" s="39"/>
      <c r="BM840" s="39"/>
    </row>
    <row r="841" spans="1:65" x14ac:dyDescent="0.15">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c r="BA841" s="39"/>
      <c r="BB841" s="39"/>
      <c r="BC841" s="39"/>
      <c r="BD841" s="39"/>
      <c r="BE841" s="39"/>
      <c r="BF841" s="39"/>
      <c r="BG841" s="39"/>
      <c r="BH841" s="39"/>
      <c r="BI841" s="39"/>
      <c r="BJ841" s="39"/>
      <c r="BK841" s="39"/>
      <c r="BL841" s="39"/>
      <c r="BM841" s="39"/>
    </row>
    <row r="842" spans="1:65" x14ac:dyDescent="0.15">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c r="AM842" s="39"/>
      <c r="AN842" s="39"/>
      <c r="AO842" s="39"/>
      <c r="AP842" s="39"/>
      <c r="AQ842" s="39"/>
      <c r="AR842" s="39"/>
      <c r="AS842" s="39"/>
      <c r="AT842" s="39"/>
      <c r="AU842" s="39"/>
      <c r="AV842" s="39"/>
      <c r="AW842" s="39"/>
      <c r="AX842" s="39"/>
      <c r="AY842" s="39"/>
      <c r="AZ842" s="39"/>
      <c r="BA842" s="39"/>
      <c r="BB842" s="39"/>
      <c r="BC842" s="39"/>
      <c r="BD842" s="39"/>
      <c r="BE842" s="39"/>
      <c r="BF842" s="39"/>
      <c r="BG842" s="39"/>
      <c r="BH842" s="39"/>
      <c r="BI842" s="39"/>
      <c r="BJ842" s="39"/>
      <c r="BK842" s="39"/>
      <c r="BL842" s="39"/>
      <c r="BM842" s="39"/>
    </row>
    <row r="843" spans="1:65" x14ac:dyDescent="0.15">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c r="AM843" s="39"/>
      <c r="AN843" s="39"/>
      <c r="AO843" s="39"/>
      <c r="AP843" s="39"/>
      <c r="AQ843" s="39"/>
      <c r="AR843" s="39"/>
      <c r="AS843" s="39"/>
      <c r="AT843" s="39"/>
      <c r="AU843" s="39"/>
      <c r="AV843" s="39"/>
      <c r="AW843" s="39"/>
      <c r="AX843" s="39"/>
      <c r="AY843" s="39"/>
      <c r="AZ843" s="39"/>
      <c r="BA843" s="39"/>
      <c r="BB843" s="39"/>
      <c r="BC843" s="39"/>
      <c r="BD843" s="39"/>
      <c r="BE843" s="39"/>
      <c r="BF843" s="39"/>
      <c r="BG843" s="39"/>
      <c r="BH843" s="39"/>
      <c r="BI843" s="39"/>
      <c r="BJ843" s="39"/>
      <c r="BK843" s="39"/>
      <c r="BL843" s="39"/>
      <c r="BM843" s="39"/>
    </row>
    <row r="844" spans="1:65" x14ac:dyDescent="0.15">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c r="AM844" s="39"/>
      <c r="AN844" s="39"/>
      <c r="AO844" s="39"/>
      <c r="AP844" s="39"/>
      <c r="AQ844" s="39"/>
      <c r="AR844" s="39"/>
      <c r="AS844" s="39"/>
      <c r="AT844" s="39"/>
      <c r="AU844" s="39"/>
      <c r="AV844" s="39"/>
      <c r="AW844" s="39"/>
      <c r="AX844" s="39"/>
      <c r="AY844" s="39"/>
      <c r="AZ844" s="39"/>
      <c r="BA844" s="39"/>
      <c r="BB844" s="39"/>
      <c r="BC844" s="39"/>
      <c r="BD844" s="39"/>
      <c r="BE844" s="39"/>
      <c r="BF844" s="39"/>
      <c r="BG844" s="39"/>
      <c r="BH844" s="39"/>
      <c r="BI844" s="39"/>
      <c r="BJ844" s="39"/>
      <c r="BK844" s="39"/>
      <c r="BL844" s="39"/>
      <c r="BM844" s="39"/>
    </row>
    <row r="845" spans="1:65" x14ac:dyDescent="0.1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c r="AP845" s="39"/>
      <c r="AQ845" s="39"/>
      <c r="AR845" s="39"/>
      <c r="AS845" s="39"/>
      <c r="AT845" s="39"/>
      <c r="AU845" s="39"/>
      <c r="AV845" s="39"/>
      <c r="AW845" s="39"/>
      <c r="AX845" s="39"/>
      <c r="AY845" s="39"/>
      <c r="AZ845" s="39"/>
      <c r="BA845" s="39"/>
      <c r="BB845" s="39"/>
      <c r="BC845" s="39"/>
      <c r="BD845" s="39"/>
      <c r="BE845" s="39"/>
      <c r="BF845" s="39"/>
      <c r="BG845" s="39"/>
      <c r="BH845" s="39"/>
      <c r="BI845" s="39"/>
      <c r="BJ845" s="39"/>
      <c r="BK845" s="39"/>
      <c r="BL845" s="39"/>
      <c r="BM845" s="39"/>
    </row>
    <row r="846" spans="1:65" x14ac:dyDescent="0.15">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c r="AM846" s="39"/>
      <c r="AN846" s="39"/>
      <c r="AO846" s="39"/>
      <c r="AP846" s="39"/>
      <c r="AQ846" s="39"/>
      <c r="AR846" s="39"/>
      <c r="AS846" s="39"/>
      <c r="AT846" s="39"/>
      <c r="AU846" s="39"/>
      <c r="AV846" s="39"/>
      <c r="AW846" s="39"/>
      <c r="AX846" s="39"/>
      <c r="AY846" s="39"/>
      <c r="AZ846" s="39"/>
      <c r="BA846" s="39"/>
      <c r="BB846" s="39"/>
      <c r="BC846" s="39"/>
      <c r="BD846" s="39"/>
      <c r="BE846" s="39"/>
      <c r="BF846" s="39"/>
      <c r="BG846" s="39"/>
      <c r="BH846" s="39"/>
      <c r="BI846" s="39"/>
      <c r="BJ846" s="39"/>
      <c r="BK846" s="39"/>
      <c r="BL846" s="39"/>
      <c r="BM846" s="39"/>
    </row>
    <row r="847" spans="1:65" x14ac:dyDescent="0.15">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c r="AM847" s="39"/>
      <c r="AN847" s="39"/>
      <c r="AO847" s="39"/>
      <c r="AP847" s="39"/>
      <c r="AQ847" s="39"/>
      <c r="AR847" s="39"/>
      <c r="AS847" s="39"/>
      <c r="AT847" s="39"/>
      <c r="AU847" s="39"/>
      <c r="AV847" s="39"/>
      <c r="AW847" s="39"/>
      <c r="AX847" s="39"/>
      <c r="AY847" s="39"/>
      <c r="AZ847" s="39"/>
      <c r="BA847" s="39"/>
      <c r="BB847" s="39"/>
      <c r="BC847" s="39"/>
      <c r="BD847" s="39"/>
      <c r="BE847" s="39"/>
      <c r="BF847" s="39"/>
      <c r="BG847" s="39"/>
      <c r="BH847" s="39"/>
      <c r="BI847" s="39"/>
      <c r="BJ847" s="39"/>
      <c r="BK847" s="39"/>
      <c r="BL847" s="39"/>
      <c r="BM847" s="39"/>
    </row>
    <row r="848" spans="1:65" x14ac:dyDescent="0.15">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c r="AM848" s="39"/>
      <c r="AN848" s="39"/>
      <c r="AO848" s="39"/>
      <c r="AP848" s="39"/>
      <c r="AQ848" s="39"/>
      <c r="AR848" s="39"/>
      <c r="AS848" s="39"/>
      <c r="AT848" s="39"/>
      <c r="AU848" s="39"/>
      <c r="AV848" s="39"/>
      <c r="AW848" s="39"/>
      <c r="AX848" s="39"/>
      <c r="AY848" s="39"/>
      <c r="AZ848" s="39"/>
      <c r="BA848" s="39"/>
      <c r="BB848" s="39"/>
      <c r="BC848" s="39"/>
      <c r="BD848" s="39"/>
      <c r="BE848" s="39"/>
      <c r="BF848" s="39"/>
      <c r="BG848" s="39"/>
      <c r="BH848" s="39"/>
      <c r="BI848" s="39"/>
      <c r="BJ848" s="39"/>
      <c r="BK848" s="39"/>
      <c r="BL848" s="39"/>
      <c r="BM848" s="39"/>
    </row>
    <row r="849" spans="1:65" x14ac:dyDescent="0.15">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c r="AM849" s="39"/>
      <c r="AN849" s="39"/>
      <c r="AO849" s="39"/>
      <c r="AP849" s="39"/>
      <c r="AQ849" s="39"/>
      <c r="AR849" s="39"/>
      <c r="AS849" s="39"/>
      <c r="AT849" s="39"/>
      <c r="AU849" s="39"/>
      <c r="AV849" s="39"/>
      <c r="AW849" s="39"/>
      <c r="AX849" s="39"/>
      <c r="AY849" s="39"/>
      <c r="AZ849" s="39"/>
      <c r="BA849" s="39"/>
      <c r="BB849" s="39"/>
      <c r="BC849" s="39"/>
      <c r="BD849" s="39"/>
      <c r="BE849" s="39"/>
      <c r="BF849" s="39"/>
      <c r="BG849" s="39"/>
      <c r="BH849" s="39"/>
      <c r="BI849" s="39"/>
      <c r="BJ849" s="39"/>
      <c r="BK849" s="39"/>
      <c r="BL849" s="39"/>
      <c r="BM849" s="39"/>
    </row>
    <row r="850" spans="1:65" x14ac:dyDescent="0.15">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c r="AM850" s="39"/>
      <c r="AN850" s="39"/>
      <c r="AO850" s="39"/>
      <c r="AP850" s="39"/>
      <c r="AQ850" s="39"/>
      <c r="AR850" s="39"/>
      <c r="AS850" s="39"/>
      <c r="AT850" s="39"/>
      <c r="AU850" s="39"/>
      <c r="AV850" s="39"/>
      <c r="AW850" s="39"/>
      <c r="AX850" s="39"/>
      <c r="AY850" s="39"/>
      <c r="AZ850" s="39"/>
      <c r="BA850" s="39"/>
      <c r="BB850" s="39"/>
      <c r="BC850" s="39"/>
      <c r="BD850" s="39"/>
      <c r="BE850" s="39"/>
      <c r="BF850" s="39"/>
      <c r="BG850" s="39"/>
      <c r="BH850" s="39"/>
      <c r="BI850" s="39"/>
      <c r="BJ850" s="39"/>
      <c r="BK850" s="39"/>
      <c r="BL850" s="39"/>
      <c r="BM850" s="39"/>
    </row>
    <row r="851" spans="1:65" x14ac:dyDescent="0.15">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c r="AR851" s="39"/>
      <c r="AS851" s="39"/>
      <c r="AT851" s="39"/>
      <c r="AU851" s="39"/>
      <c r="AV851" s="39"/>
      <c r="AW851" s="39"/>
      <c r="AX851" s="39"/>
      <c r="AY851" s="39"/>
      <c r="AZ851" s="39"/>
      <c r="BA851" s="39"/>
      <c r="BB851" s="39"/>
      <c r="BC851" s="39"/>
      <c r="BD851" s="39"/>
      <c r="BE851" s="39"/>
      <c r="BF851" s="39"/>
      <c r="BG851" s="39"/>
      <c r="BH851" s="39"/>
      <c r="BI851" s="39"/>
      <c r="BJ851" s="39"/>
      <c r="BK851" s="39"/>
      <c r="BL851" s="39"/>
      <c r="BM851" s="39"/>
    </row>
    <row r="852" spans="1:65" x14ac:dyDescent="0.15">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c r="AM852" s="39"/>
      <c r="AN852" s="39"/>
      <c r="AO852" s="39"/>
      <c r="AP852" s="39"/>
      <c r="AQ852" s="39"/>
      <c r="AR852" s="39"/>
      <c r="AS852" s="39"/>
      <c r="AT852" s="39"/>
      <c r="AU852" s="39"/>
      <c r="AV852" s="39"/>
      <c r="AW852" s="39"/>
      <c r="AX852" s="39"/>
      <c r="AY852" s="39"/>
      <c r="AZ852" s="39"/>
      <c r="BA852" s="39"/>
      <c r="BB852" s="39"/>
      <c r="BC852" s="39"/>
      <c r="BD852" s="39"/>
      <c r="BE852" s="39"/>
      <c r="BF852" s="39"/>
      <c r="BG852" s="39"/>
      <c r="BH852" s="39"/>
      <c r="BI852" s="39"/>
      <c r="BJ852" s="39"/>
      <c r="BK852" s="39"/>
      <c r="BL852" s="39"/>
      <c r="BM852" s="39"/>
    </row>
    <row r="853" spans="1:65" x14ac:dyDescent="0.15">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c r="AM853" s="39"/>
      <c r="AN853" s="39"/>
      <c r="AO853" s="39"/>
      <c r="AP853" s="39"/>
      <c r="AQ853" s="39"/>
      <c r="AR853" s="39"/>
      <c r="AS853" s="39"/>
      <c r="AT853" s="39"/>
      <c r="AU853" s="39"/>
      <c r="AV853" s="39"/>
      <c r="AW853" s="39"/>
      <c r="AX853" s="39"/>
      <c r="AY853" s="39"/>
      <c r="AZ853" s="39"/>
      <c r="BA853" s="39"/>
      <c r="BB853" s="39"/>
      <c r="BC853" s="39"/>
      <c r="BD853" s="39"/>
      <c r="BE853" s="39"/>
      <c r="BF853" s="39"/>
      <c r="BG853" s="39"/>
      <c r="BH853" s="39"/>
      <c r="BI853" s="39"/>
      <c r="BJ853" s="39"/>
      <c r="BK853" s="39"/>
      <c r="BL853" s="39"/>
      <c r="BM853" s="39"/>
    </row>
    <row r="854" spans="1:65" x14ac:dyDescent="0.15">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B854" s="39"/>
      <c r="BC854" s="39"/>
      <c r="BD854" s="39"/>
      <c r="BE854" s="39"/>
      <c r="BF854" s="39"/>
      <c r="BG854" s="39"/>
      <c r="BH854" s="39"/>
      <c r="BI854" s="39"/>
      <c r="BJ854" s="39"/>
      <c r="BK854" s="39"/>
      <c r="BL854" s="39"/>
      <c r="BM854" s="39"/>
    </row>
    <row r="855" spans="1:65" x14ac:dyDescent="0.1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c r="AM855" s="39"/>
      <c r="AN855" s="39"/>
      <c r="AO855" s="39"/>
      <c r="AP855" s="39"/>
      <c r="AQ855" s="39"/>
      <c r="AR855" s="39"/>
      <c r="AS855" s="39"/>
      <c r="AT855" s="39"/>
      <c r="AU855" s="39"/>
      <c r="AV855" s="39"/>
      <c r="AW855" s="39"/>
      <c r="AX855" s="39"/>
      <c r="AY855" s="39"/>
      <c r="AZ855" s="39"/>
      <c r="BA855" s="39"/>
      <c r="BB855" s="39"/>
      <c r="BC855" s="39"/>
      <c r="BD855" s="39"/>
      <c r="BE855" s="39"/>
      <c r="BF855" s="39"/>
      <c r="BG855" s="39"/>
      <c r="BH855" s="39"/>
      <c r="BI855" s="39"/>
      <c r="BJ855" s="39"/>
      <c r="BK855" s="39"/>
      <c r="BL855" s="39"/>
      <c r="BM855" s="39"/>
    </row>
    <row r="856" spans="1:65" x14ac:dyDescent="0.15">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c r="AP856" s="39"/>
      <c r="AQ856" s="39"/>
      <c r="AR856" s="39"/>
      <c r="AS856" s="39"/>
      <c r="AT856" s="39"/>
      <c r="AU856" s="39"/>
      <c r="AV856" s="39"/>
      <c r="AW856" s="39"/>
      <c r="AX856" s="39"/>
      <c r="AY856" s="39"/>
      <c r="AZ856" s="39"/>
      <c r="BA856" s="39"/>
      <c r="BB856" s="39"/>
      <c r="BC856" s="39"/>
      <c r="BD856" s="39"/>
      <c r="BE856" s="39"/>
      <c r="BF856" s="39"/>
      <c r="BG856" s="39"/>
      <c r="BH856" s="39"/>
      <c r="BI856" s="39"/>
      <c r="BJ856" s="39"/>
      <c r="BK856" s="39"/>
      <c r="BL856" s="39"/>
      <c r="BM856" s="39"/>
    </row>
    <row r="857" spans="1:65" x14ac:dyDescent="0.15">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c r="AM857" s="39"/>
      <c r="AN857" s="39"/>
      <c r="AO857" s="39"/>
      <c r="AP857" s="39"/>
      <c r="AQ857" s="39"/>
      <c r="AR857" s="39"/>
      <c r="AS857" s="39"/>
      <c r="AT857" s="39"/>
      <c r="AU857" s="39"/>
      <c r="AV857" s="39"/>
      <c r="AW857" s="39"/>
      <c r="AX857" s="39"/>
      <c r="AY857" s="39"/>
      <c r="AZ857" s="39"/>
      <c r="BA857" s="39"/>
      <c r="BB857" s="39"/>
      <c r="BC857" s="39"/>
      <c r="BD857" s="39"/>
      <c r="BE857" s="39"/>
      <c r="BF857" s="39"/>
      <c r="BG857" s="39"/>
      <c r="BH857" s="39"/>
      <c r="BI857" s="39"/>
      <c r="BJ857" s="39"/>
      <c r="BK857" s="39"/>
      <c r="BL857" s="39"/>
      <c r="BM857" s="39"/>
    </row>
    <row r="858" spans="1:65" x14ac:dyDescent="0.15">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c r="AM858" s="39"/>
      <c r="AN858" s="39"/>
      <c r="AO858" s="39"/>
      <c r="AP858" s="39"/>
      <c r="AQ858" s="39"/>
      <c r="AR858" s="39"/>
      <c r="AS858" s="39"/>
      <c r="AT858" s="39"/>
      <c r="AU858" s="39"/>
      <c r="AV858" s="39"/>
      <c r="AW858" s="39"/>
      <c r="AX858" s="39"/>
      <c r="AY858" s="39"/>
      <c r="AZ858" s="39"/>
      <c r="BA858" s="39"/>
      <c r="BB858" s="39"/>
      <c r="BC858" s="39"/>
      <c r="BD858" s="39"/>
      <c r="BE858" s="39"/>
      <c r="BF858" s="39"/>
      <c r="BG858" s="39"/>
      <c r="BH858" s="39"/>
      <c r="BI858" s="39"/>
      <c r="BJ858" s="39"/>
      <c r="BK858" s="39"/>
      <c r="BL858" s="39"/>
      <c r="BM858" s="39"/>
    </row>
    <row r="859" spans="1:65" x14ac:dyDescent="0.15">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c r="AM859" s="39"/>
      <c r="AN859" s="39"/>
      <c r="AO859" s="39"/>
      <c r="AP859" s="39"/>
      <c r="AQ859" s="39"/>
      <c r="AR859" s="39"/>
      <c r="AS859" s="39"/>
      <c r="AT859" s="39"/>
      <c r="AU859" s="39"/>
      <c r="AV859" s="39"/>
      <c r="AW859" s="39"/>
      <c r="AX859" s="39"/>
      <c r="AY859" s="39"/>
      <c r="AZ859" s="39"/>
      <c r="BA859" s="39"/>
      <c r="BB859" s="39"/>
      <c r="BC859" s="39"/>
      <c r="BD859" s="39"/>
      <c r="BE859" s="39"/>
      <c r="BF859" s="39"/>
      <c r="BG859" s="39"/>
      <c r="BH859" s="39"/>
      <c r="BI859" s="39"/>
      <c r="BJ859" s="39"/>
      <c r="BK859" s="39"/>
      <c r="BL859" s="39"/>
      <c r="BM859" s="39"/>
    </row>
    <row r="860" spans="1:65" x14ac:dyDescent="0.15">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c r="AR860" s="39"/>
      <c r="AS860" s="39"/>
      <c r="AT860" s="39"/>
      <c r="AU860" s="39"/>
      <c r="AV860" s="39"/>
      <c r="AW860" s="39"/>
      <c r="AX860" s="39"/>
      <c r="AY860" s="39"/>
      <c r="AZ860" s="39"/>
      <c r="BA860" s="39"/>
      <c r="BB860" s="39"/>
      <c r="BC860" s="39"/>
      <c r="BD860" s="39"/>
      <c r="BE860" s="39"/>
      <c r="BF860" s="39"/>
      <c r="BG860" s="39"/>
      <c r="BH860" s="39"/>
      <c r="BI860" s="39"/>
      <c r="BJ860" s="39"/>
      <c r="BK860" s="39"/>
      <c r="BL860" s="39"/>
      <c r="BM860" s="39"/>
    </row>
    <row r="861" spans="1:65" x14ac:dyDescent="0.15">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c r="AM861" s="39"/>
      <c r="AN861" s="39"/>
      <c r="AO861" s="39"/>
      <c r="AP861" s="39"/>
      <c r="AQ861" s="39"/>
      <c r="AR861" s="39"/>
      <c r="AS861" s="39"/>
      <c r="AT861" s="39"/>
      <c r="AU861" s="39"/>
      <c r="AV861" s="39"/>
      <c r="AW861" s="39"/>
      <c r="AX861" s="39"/>
      <c r="AY861" s="39"/>
      <c r="AZ861" s="39"/>
      <c r="BA861" s="39"/>
      <c r="BB861" s="39"/>
      <c r="BC861" s="39"/>
      <c r="BD861" s="39"/>
      <c r="BE861" s="39"/>
      <c r="BF861" s="39"/>
      <c r="BG861" s="39"/>
      <c r="BH861" s="39"/>
      <c r="BI861" s="39"/>
      <c r="BJ861" s="39"/>
      <c r="BK861" s="39"/>
      <c r="BL861" s="39"/>
      <c r="BM861" s="39"/>
    </row>
    <row r="862" spans="1:65" x14ac:dyDescent="0.15">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c r="AM862" s="39"/>
      <c r="AN862" s="39"/>
      <c r="AO862" s="39"/>
      <c r="AP862" s="39"/>
      <c r="AQ862" s="39"/>
      <c r="AR862" s="39"/>
      <c r="AS862" s="39"/>
      <c r="AT862" s="39"/>
      <c r="AU862" s="39"/>
      <c r="AV862" s="39"/>
      <c r="AW862" s="39"/>
      <c r="AX862" s="39"/>
      <c r="AY862" s="39"/>
      <c r="AZ862" s="39"/>
      <c r="BA862" s="39"/>
      <c r="BB862" s="39"/>
      <c r="BC862" s="39"/>
      <c r="BD862" s="39"/>
      <c r="BE862" s="39"/>
      <c r="BF862" s="39"/>
      <c r="BG862" s="39"/>
      <c r="BH862" s="39"/>
      <c r="BI862" s="39"/>
      <c r="BJ862" s="39"/>
      <c r="BK862" s="39"/>
      <c r="BL862" s="39"/>
      <c r="BM862" s="39"/>
    </row>
    <row r="863" spans="1:65" x14ac:dyDescent="0.15">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c r="AM863" s="39"/>
      <c r="AN863" s="39"/>
      <c r="AO863" s="39"/>
      <c r="AP863" s="39"/>
      <c r="AQ863" s="39"/>
      <c r="AR863" s="39"/>
      <c r="AS863" s="39"/>
      <c r="AT863" s="39"/>
      <c r="AU863" s="39"/>
      <c r="AV863" s="39"/>
      <c r="AW863" s="39"/>
      <c r="AX863" s="39"/>
      <c r="AY863" s="39"/>
      <c r="AZ863" s="39"/>
      <c r="BA863" s="39"/>
      <c r="BB863" s="39"/>
      <c r="BC863" s="39"/>
      <c r="BD863" s="39"/>
      <c r="BE863" s="39"/>
      <c r="BF863" s="39"/>
      <c r="BG863" s="39"/>
      <c r="BH863" s="39"/>
      <c r="BI863" s="39"/>
      <c r="BJ863" s="39"/>
      <c r="BK863" s="39"/>
      <c r="BL863" s="39"/>
      <c r="BM863" s="39"/>
    </row>
    <row r="864" spans="1:65" x14ac:dyDescent="0.15">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c r="AR864" s="39"/>
      <c r="AS864" s="39"/>
      <c r="AT864" s="39"/>
      <c r="AU864" s="39"/>
      <c r="AV864" s="39"/>
      <c r="AW864" s="39"/>
      <c r="AX864" s="39"/>
      <c r="AY864" s="39"/>
      <c r="AZ864" s="39"/>
      <c r="BA864" s="39"/>
      <c r="BB864" s="39"/>
      <c r="BC864" s="39"/>
      <c r="BD864" s="39"/>
      <c r="BE864" s="39"/>
      <c r="BF864" s="39"/>
      <c r="BG864" s="39"/>
      <c r="BH864" s="39"/>
      <c r="BI864" s="39"/>
      <c r="BJ864" s="39"/>
      <c r="BK864" s="39"/>
      <c r="BL864" s="39"/>
      <c r="BM864" s="39"/>
    </row>
    <row r="865" spans="1:65" x14ac:dyDescent="0.1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c r="AM865" s="39"/>
      <c r="AN865" s="39"/>
      <c r="AO865" s="39"/>
      <c r="AP865" s="39"/>
      <c r="AQ865" s="39"/>
      <c r="AR865" s="39"/>
      <c r="AS865" s="39"/>
      <c r="AT865" s="39"/>
      <c r="AU865" s="39"/>
      <c r="AV865" s="39"/>
      <c r="AW865" s="39"/>
      <c r="AX865" s="39"/>
      <c r="AY865" s="39"/>
      <c r="AZ865" s="39"/>
      <c r="BA865" s="39"/>
      <c r="BB865" s="39"/>
      <c r="BC865" s="39"/>
      <c r="BD865" s="39"/>
      <c r="BE865" s="39"/>
      <c r="BF865" s="39"/>
      <c r="BG865" s="39"/>
      <c r="BH865" s="39"/>
      <c r="BI865" s="39"/>
      <c r="BJ865" s="39"/>
      <c r="BK865" s="39"/>
      <c r="BL865" s="39"/>
      <c r="BM865" s="39"/>
    </row>
    <row r="866" spans="1:65" x14ac:dyDescent="0.15">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c r="AM866" s="39"/>
      <c r="AN866" s="39"/>
      <c r="AO866" s="39"/>
      <c r="AP866" s="39"/>
      <c r="AQ866" s="39"/>
      <c r="AR866" s="39"/>
      <c r="AS866" s="39"/>
      <c r="AT866" s="39"/>
      <c r="AU866" s="39"/>
      <c r="AV866" s="39"/>
      <c r="AW866" s="39"/>
      <c r="AX866" s="39"/>
      <c r="AY866" s="39"/>
      <c r="AZ866" s="39"/>
      <c r="BA866" s="39"/>
      <c r="BB866" s="39"/>
      <c r="BC866" s="39"/>
      <c r="BD866" s="39"/>
      <c r="BE866" s="39"/>
      <c r="BF866" s="39"/>
      <c r="BG866" s="39"/>
      <c r="BH866" s="39"/>
      <c r="BI866" s="39"/>
      <c r="BJ866" s="39"/>
      <c r="BK866" s="39"/>
      <c r="BL866" s="39"/>
      <c r="BM866" s="39"/>
    </row>
    <row r="867" spans="1:65" x14ac:dyDescent="0.15">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c r="AM867" s="39"/>
      <c r="AN867" s="39"/>
      <c r="AO867" s="39"/>
      <c r="AP867" s="39"/>
      <c r="AQ867" s="39"/>
      <c r="AR867" s="39"/>
      <c r="AS867" s="39"/>
      <c r="AT867" s="39"/>
      <c r="AU867" s="39"/>
      <c r="AV867" s="39"/>
      <c r="AW867" s="39"/>
      <c r="AX867" s="39"/>
      <c r="AY867" s="39"/>
      <c r="AZ867" s="39"/>
      <c r="BA867" s="39"/>
      <c r="BB867" s="39"/>
      <c r="BC867" s="39"/>
      <c r="BD867" s="39"/>
      <c r="BE867" s="39"/>
      <c r="BF867" s="39"/>
      <c r="BG867" s="39"/>
      <c r="BH867" s="39"/>
      <c r="BI867" s="39"/>
      <c r="BJ867" s="39"/>
      <c r="BK867" s="39"/>
      <c r="BL867" s="39"/>
      <c r="BM867" s="39"/>
    </row>
    <row r="868" spans="1:65" x14ac:dyDescent="0.15">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c r="AR868" s="39"/>
      <c r="AS868" s="39"/>
      <c r="AT868" s="39"/>
      <c r="AU868" s="39"/>
      <c r="AV868" s="39"/>
      <c r="AW868" s="39"/>
      <c r="AX868" s="39"/>
      <c r="AY868" s="39"/>
      <c r="AZ868" s="39"/>
      <c r="BA868" s="39"/>
      <c r="BB868" s="39"/>
      <c r="BC868" s="39"/>
      <c r="BD868" s="39"/>
      <c r="BE868" s="39"/>
      <c r="BF868" s="39"/>
      <c r="BG868" s="39"/>
      <c r="BH868" s="39"/>
      <c r="BI868" s="39"/>
      <c r="BJ868" s="39"/>
      <c r="BK868" s="39"/>
      <c r="BL868" s="39"/>
      <c r="BM868" s="39"/>
    </row>
    <row r="869" spans="1:65" x14ac:dyDescent="0.15">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c r="AP869" s="39"/>
      <c r="AQ869" s="39"/>
      <c r="AR869" s="39"/>
      <c r="AS869" s="39"/>
      <c r="AT869" s="39"/>
      <c r="AU869" s="39"/>
      <c r="AV869" s="39"/>
      <c r="AW869" s="39"/>
      <c r="AX869" s="39"/>
      <c r="AY869" s="39"/>
      <c r="AZ869" s="39"/>
      <c r="BA869" s="39"/>
      <c r="BB869" s="39"/>
      <c r="BC869" s="39"/>
      <c r="BD869" s="39"/>
      <c r="BE869" s="39"/>
      <c r="BF869" s="39"/>
      <c r="BG869" s="39"/>
      <c r="BH869" s="39"/>
      <c r="BI869" s="39"/>
      <c r="BJ869" s="39"/>
      <c r="BK869" s="39"/>
      <c r="BL869" s="39"/>
      <c r="BM869" s="39"/>
    </row>
    <row r="870" spans="1:65" x14ac:dyDescent="0.15">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c r="AM870" s="39"/>
      <c r="AN870" s="39"/>
      <c r="AO870" s="39"/>
      <c r="AP870" s="39"/>
      <c r="AQ870" s="39"/>
      <c r="AR870" s="39"/>
      <c r="AS870" s="39"/>
      <c r="AT870" s="39"/>
      <c r="AU870" s="39"/>
      <c r="AV870" s="39"/>
      <c r="AW870" s="39"/>
      <c r="AX870" s="39"/>
      <c r="AY870" s="39"/>
      <c r="AZ870" s="39"/>
      <c r="BA870" s="39"/>
      <c r="BB870" s="39"/>
      <c r="BC870" s="39"/>
      <c r="BD870" s="39"/>
      <c r="BE870" s="39"/>
      <c r="BF870" s="39"/>
      <c r="BG870" s="39"/>
      <c r="BH870" s="39"/>
      <c r="BI870" s="39"/>
      <c r="BJ870" s="39"/>
      <c r="BK870" s="39"/>
      <c r="BL870" s="39"/>
      <c r="BM870" s="39"/>
    </row>
    <row r="871" spans="1:65" x14ac:dyDescent="0.15">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c r="AM871" s="39"/>
      <c r="AN871" s="39"/>
      <c r="AO871" s="39"/>
      <c r="AP871" s="39"/>
      <c r="AQ871" s="39"/>
      <c r="AR871" s="39"/>
      <c r="AS871" s="39"/>
      <c r="AT871" s="39"/>
      <c r="AU871" s="39"/>
      <c r="AV871" s="39"/>
      <c r="AW871" s="39"/>
      <c r="AX871" s="39"/>
      <c r="AY871" s="39"/>
      <c r="AZ871" s="39"/>
      <c r="BA871" s="39"/>
      <c r="BB871" s="39"/>
      <c r="BC871" s="39"/>
      <c r="BD871" s="39"/>
      <c r="BE871" s="39"/>
      <c r="BF871" s="39"/>
      <c r="BG871" s="39"/>
      <c r="BH871" s="39"/>
      <c r="BI871" s="39"/>
      <c r="BJ871" s="39"/>
      <c r="BK871" s="39"/>
      <c r="BL871" s="39"/>
      <c r="BM871" s="39"/>
    </row>
    <row r="872" spans="1:65" x14ac:dyDescent="0.15">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c r="AR872" s="39"/>
      <c r="AS872" s="39"/>
      <c r="AT872" s="39"/>
      <c r="AU872" s="39"/>
      <c r="AV872" s="39"/>
      <c r="AW872" s="39"/>
      <c r="AX872" s="39"/>
      <c r="AY872" s="39"/>
      <c r="AZ872" s="39"/>
      <c r="BA872" s="39"/>
      <c r="BB872" s="39"/>
      <c r="BC872" s="39"/>
      <c r="BD872" s="39"/>
      <c r="BE872" s="39"/>
      <c r="BF872" s="39"/>
      <c r="BG872" s="39"/>
      <c r="BH872" s="39"/>
      <c r="BI872" s="39"/>
      <c r="BJ872" s="39"/>
      <c r="BK872" s="39"/>
      <c r="BL872" s="39"/>
      <c r="BM872" s="39"/>
    </row>
    <row r="873" spans="1:65" x14ac:dyDescent="0.15">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c r="AM873" s="39"/>
      <c r="AN873" s="39"/>
      <c r="AO873" s="39"/>
      <c r="AP873" s="39"/>
      <c r="AQ873" s="39"/>
      <c r="AR873" s="39"/>
      <c r="AS873" s="39"/>
      <c r="AT873" s="39"/>
      <c r="AU873" s="39"/>
      <c r="AV873" s="39"/>
      <c r="AW873" s="39"/>
      <c r="AX873" s="39"/>
      <c r="AY873" s="39"/>
      <c r="AZ873" s="39"/>
      <c r="BA873" s="39"/>
      <c r="BB873" s="39"/>
      <c r="BC873" s="39"/>
      <c r="BD873" s="39"/>
      <c r="BE873" s="39"/>
      <c r="BF873" s="39"/>
      <c r="BG873" s="39"/>
      <c r="BH873" s="39"/>
      <c r="BI873" s="39"/>
      <c r="BJ873" s="39"/>
      <c r="BK873" s="39"/>
      <c r="BL873" s="39"/>
      <c r="BM873" s="39"/>
    </row>
    <row r="874" spans="1:65" x14ac:dyDescent="0.15">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c r="AM874" s="39"/>
      <c r="AN874" s="39"/>
      <c r="AO874" s="39"/>
      <c r="AP874" s="39"/>
      <c r="AQ874" s="39"/>
      <c r="AR874" s="39"/>
      <c r="AS874" s="39"/>
      <c r="AT874" s="39"/>
      <c r="AU874" s="39"/>
      <c r="AV874" s="39"/>
      <c r="AW874" s="39"/>
      <c r="AX874" s="39"/>
      <c r="AY874" s="39"/>
      <c r="AZ874" s="39"/>
      <c r="BA874" s="39"/>
      <c r="BB874" s="39"/>
      <c r="BC874" s="39"/>
      <c r="BD874" s="39"/>
      <c r="BE874" s="39"/>
      <c r="BF874" s="39"/>
      <c r="BG874" s="39"/>
      <c r="BH874" s="39"/>
      <c r="BI874" s="39"/>
      <c r="BJ874" s="39"/>
      <c r="BK874" s="39"/>
      <c r="BL874" s="39"/>
      <c r="BM874" s="39"/>
    </row>
    <row r="875" spans="1:65" x14ac:dyDescent="0.1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c r="AP875" s="39"/>
      <c r="AQ875" s="39"/>
      <c r="AR875" s="39"/>
      <c r="AS875" s="39"/>
      <c r="AT875" s="39"/>
      <c r="AU875" s="39"/>
      <c r="AV875" s="39"/>
      <c r="AW875" s="39"/>
      <c r="AX875" s="39"/>
      <c r="AY875" s="39"/>
      <c r="AZ875" s="39"/>
      <c r="BA875" s="39"/>
      <c r="BB875" s="39"/>
      <c r="BC875" s="39"/>
      <c r="BD875" s="39"/>
      <c r="BE875" s="39"/>
      <c r="BF875" s="39"/>
      <c r="BG875" s="39"/>
      <c r="BH875" s="39"/>
      <c r="BI875" s="39"/>
      <c r="BJ875" s="39"/>
      <c r="BK875" s="39"/>
      <c r="BL875" s="39"/>
      <c r="BM875" s="39"/>
    </row>
    <row r="876" spans="1:65" x14ac:dyDescent="0.15">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c r="AM876" s="39"/>
      <c r="AN876" s="39"/>
      <c r="AO876" s="39"/>
      <c r="AP876" s="39"/>
      <c r="AQ876" s="39"/>
      <c r="AR876" s="39"/>
      <c r="AS876" s="39"/>
      <c r="AT876" s="39"/>
      <c r="AU876" s="39"/>
      <c r="AV876" s="39"/>
      <c r="AW876" s="39"/>
      <c r="AX876" s="39"/>
      <c r="AY876" s="39"/>
      <c r="AZ876" s="39"/>
      <c r="BA876" s="39"/>
      <c r="BB876" s="39"/>
      <c r="BC876" s="39"/>
      <c r="BD876" s="39"/>
      <c r="BE876" s="39"/>
      <c r="BF876" s="39"/>
      <c r="BG876" s="39"/>
      <c r="BH876" s="39"/>
      <c r="BI876" s="39"/>
      <c r="BJ876" s="39"/>
      <c r="BK876" s="39"/>
      <c r="BL876" s="39"/>
      <c r="BM876" s="39"/>
    </row>
    <row r="877" spans="1:65" x14ac:dyDescent="0.15">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c r="AM877" s="39"/>
      <c r="AN877" s="39"/>
      <c r="AO877" s="39"/>
      <c r="AP877" s="39"/>
      <c r="AQ877" s="39"/>
      <c r="AR877" s="39"/>
      <c r="AS877" s="39"/>
      <c r="AT877" s="39"/>
      <c r="AU877" s="39"/>
      <c r="AV877" s="39"/>
      <c r="AW877" s="39"/>
      <c r="AX877" s="39"/>
      <c r="AY877" s="39"/>
      <c r="AZ877" s="39"/>
      <c r="BA877" s="39"/>
      <c r="BB877" s="39"/>
      <c r="BC877" s="39"/>
      <c r="BD877" s="39"/>
      <c r="BE877" s="39"/>
      <c r="BF877" s="39"/>
      <c r="BG877" s="39"/>
      <c r="BH877" s="39"/>
      <c r="BI877" s="39"/>
      <c r="BJ877" s="39"/>
      <c r="BK877" s="39"/>
      <c r="BL877" s="39"/>
      <c r="BM877" s="39"/>
    </row>
    <row r="878" spans="1:65" x14ac:dyDescent="0.15">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c r="AM878" s="39"/>
      <c r="AN878" s="39"/>
      <c r="AO878" s="39"/>
      <c r="AP878" s="39"/>
      <c r="AQ878" s="39"/>
      <c r="AR878" s="39"/>
      <c r="AS878" s="39"/>
      <c r="AT878" s="39"/>
      <c r="AU878" s="39"/>
      <c r="AV878" s="39"/>
      <c r="AW878" s="39"/>
      <c r="AX878" s="39"/>
      <c r="AY878" s="39"/>
      <c r="AZ878" s="39"/>
      <c r="BA878" s="39"/>
      <c r="BB878" s="39"/>
      <c r="BC878" s="39"/>
      <c r="BD878" s="39"/>
      <c r="BE878" s="39"/>
      <c r="BF878" s="39"/>
      <c r="BG878" s="39"/>
      <c r="BH878" s="39"/>
      <c r="BI878" s="39"/>
      <c r="BJ878" s="39"/>
      <c r="BK878" s="39"/>
      <c r="BL878" s="39"/>
      <c r="BM878" s="39"/>
    </row>
    <row r="879" spans="1:65" x14ac:dyDescent="0.15">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c r="AP879" s="39"/>
      <c r="AQ879" s="39"/>
      <c r="AR879" s="39"/>
      <c r="AS879" s="39"/>
      <c r="AT879" s="39"/>
      <c r="AU879" s="39"/>
      <c r="AV879" s="39"/>
      <c r="AW879" s="39"/>
      <c r="AX879" s="39"/>
      <c r="AY879" s="39"/>
      <c r="AZ879" s="39"/>
      <c r="BA879" s="39"/>
      <c r="BB879" s="39"/>
      <c r="BC879" s="39"/>
      <c r="BD879" s="39"/>
      <c r="BE879" s="39"/>
      <c r="BF879" s="39"/>
      <c r="BG879" s="39"/>
      <c r="BH879" s="39"/>
      <c r="BI879" s="39"/>
      <c r="BJ879" s="39"/>
      <c r="BK879" s="39"/>
      <c r="BL879" s="39"/>
      <c r="BM879" s="39"/>
    </row>
    <row r="880" spans="1:65" x14ac:dyDescent="0.15">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B880" s="39"/>
      <c r="BC880" s="39"/>
      <c r="BD880" s="39"/>
      <c r="BE880" s="39"/>
      <c r="BF880" s="39"/>
      <c r="BG880" s="39"/>
      <c r="BH880" s="39"/>
      <c r="BI880" s="39"/>
      <c r="BJ880" s="39"/>
      <c r="BK880" s="39"/>
      <c r="BL880" s="39"/>
      <c r="BM880" s="39"/>
    </row>
    <row r="881" spans="1:65" x14ac:dyDescent="0.15">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c r="AM881" s="39"/>
      <c r="AN881" s="39"/>
      <c r="AO881" s="39"/>
      <c r="AP881" s="39"/>
      <c r="AQ881" s="39"/>
      <c r="AR881" s="39"/>
      <c r="AS881" s="39"/>
      <c r="AT881" s="39"/>
      <c r="AU881" s="39"/>
      <c r="AV881" s="39"/>
      <c r="AW881" s="39"/>
      <c r="AX881" s="39"/>
      <c r="AY881" s="39"/>
      <c r="AZ881" s="39"/>
      <c r="BA881" s="39"/>
      <c r="BB881" s="39"/>
      <c r="BC881" s="39"/>
      <c r="BD881" s="39"/>
      <c r="BE881" s="39"/>
      <c r="BF881" s="39"/>
      <c r="BG881" s="39"/>
      <c r="BH881" s="39"/>
      <c r="BI881" s="39"/>
      <c r="BJ881" s="39"/>
      <c r="BK881" s="39"/>
      <c r="BL881" s="39"/>
      <c r="BM881" s="39"/>
    </row>
    <row r="882" spans="1:65" x14ac:dyDescent="0.15">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c r="AM882" s="39"/>
      <c r="AN882" s="39"/>
      <c r="AO882" s="39"/>
      <c r="AP882" s="39"/>
      <c r="AQ882" s="39"/>
      <c r="AR882" s="39"/>
      <c r="AS882" s="39"/>
      <c r="AT882" s="39"/>
      <c r="AU882" s="39"/>
      <c r="AV882" s="39"/>
      <c r="AW882" s="39"/>
      <c r="AX882" s="39"/>
      <c r="AY882" s="39"/>
      <c r="AZ882" s="39"/>
      <c r="BA882" s="39"/>
      <c r="BB882" s="39"/>
      <c r="BC882" s="39"/>
      <c r="BD882" s="39"/>
      <c r="BE882" s="39"/>
      <c r="BF882" s="39"/>
      <c r="BG882" s="39"/>
      <c r="BH882" s="39"/>
      <c r="BI882" s="39"/>
      <c r="BJ882" s="39"/>
      <c r="BK882" s="39"/>
      <c r="BL882" s="39"/>
      <c r="BM882" s="39"/>
    </row>
    <row r="883" spans="1:65" x14ac:dyDescent="0.15">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c r="AP883" s="39"/>
      <c r="AQ883" s="39"/>
      <c r="AR883" s="39"/>
      <c r="AS883" s="39"/>
      <c r="AT883" s="39"/>
      <c r="AU883" s="39"/>
      <c r="AV883" s="39"/>
      <c r="AW883" s="39"/>
      <c r="AX883" s="39"/>
      <c r="AY883" s="39"/>
      <c r="AZ883" s="39"/>
      <c r="BA883" s="39"/>
      <c r="BB883" s="39"/>
      <c r="BC883" s="39"/>
      <c r="BD883" s="39"/>
      <c r="BE883" s="39"/>
      <c r="BF883" s="39"/>
      <c r="BG883" s="39"/>
      <c r="BH883" s="39"/>
      <c r="BI883" s="39"/>
      <c r="BJ883" s="39"/>
      <c r="BK883" s="39"/>
      <c r="BL883" s="39"/>
      <c r="BM883" s="39"/>
    </row>
    <row r="884" spans="1:65" x14ac:dyDescent="0.15">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c r="AM884" s="39"/>
      <c r="AN884" s="39"/>
      <c r="AO884" s="39"/>
      <c r="AP884" s="39"/>
      <c r="AQ884" s="39"/>
      <c r="AR884" s="39"/>
      <c r="AS884" s="39"/>
      <c r="AT884" s="39"/>
      <c r="AU884" s="39"/>
      <c r="AV884" s="39"/>
      <c r="AW884" s="39"/>
      <c r="AX884" s="39"/>
      <c r="AY884" s="39"/>
      <c r="AZ884" s="39"/>
      <c r="BA884" s="39"/>
      <c r="BB884" s="39"/>
      <c r="BC884" s="39"/>
      <c r="BD884" s="39"/>
      <c r="BE884" s="39"/>
      <c r="BF884" s="39"/>
      <c r="BG884" s="39"/>
      <c r="BH884" s="39"/>
      <c r="BI884" s="39"/>
      <c r="BJ884" s="39"/>
      <c r="BK884" s="39"/>
      <c r="BL884" s="39"/>
      <c r="BM884" s="39"/>
    </row>
    <row r="885" spans="1:65" x14ac:dyDescent="0.1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c r="AM885" s="39"/>
      <c r="AN885" s="39"/>
      <c r="AO885" s="39"/>
      <c r="AP885" s="39"/>
      <c r="AQ885" s="39"/>
      <c r="AR885" s="39"/>
      <c r="AS885" s="39"/>
      <c r="AT885" s="39"/>
      <c r="AU885" s="39"/>
      <c r="AV885" s="39"/>
      <c r="AW885" s="39"/>
      <c r="AX885" s="39"/>
      <c r="AY885" s="39"/>
      <c r="AZ885" s="39"/>
      <c r="BA885" s="39"/>
      <c r="BB885" s="39"/>
      <c r="BC885" s="39"/>
      <c r="BD885" s="39"/>
      <c r="BE885" s="39"/>
      <c r="BF885" s="39"/>
      <c r="BG885" s="39"/>
      <c r="BH885" s="39"/>
      <c r="BI885" s="39"/>
      <c r="BJ885" s="39"/>
      <c r="BK885" s="39"/>
      <c r="BL885" s="39"/>
      <c r="BM885" s="39"/>
    </row>
    <row r="886" spans="1:65" x14ac:dyDescent="0.15">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B886" s="39"/>
      <c r="BC886" s="39"/>
      <c r="BD886" s="39"/>
      <c r="BE886" s="39"/>
      <c r="BF886" s="39"/>
      <c r="BG886" s="39"/>
      <c r="BH886" s="39"/>
      <c r="BI886" s="39"/>
      <c r="BJ886" s="39"/>
      <c r="BK886" s="39"/>
      <c r="BL886" s="39"/>
      <c r="BM886" s="39"/>
    </row>
    <row r="887" spans="1:65" x14ac:dyDescent="0.15">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c r="AP887" s="39"/>
      <c r="AQ887" s="39"/>
      <c r="AR887" s="39"/>
      <c r="AS887" s="39"/>
      <c r="AT887" s="39"/>
      <c r="AU887" s="39"/>
      <c r="AV887" s="39"/>
      <c r="AW887" s="39"/>
      <c r="AX887" s="39"/>
      <c r="AY887" s="39"/>
      <c r="AZ887" s="39"/>
      <c r="BA887" s="39"/>
      <c r="BB887" s="39"/>
      <c r="BC887" s="39"/>
      <c r="BD887" s="39"/>
      <c r="BE887" s="39"/>
      <c r="BF887" s="39"/>
      <c r="BG887" s="39"/>
      <c r="BH887" s="39"/>
      <c r="BI887" s="39"/>
      <c r="BJ887" s="39"/>
      <c r="BK887" s="39"/>
      <c r="BL887" s="39"/>
      <c r="BM887" s="39"/>
    </row>
    <row r="888" spans="1:65" x14ac:dyDescent="0.15">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c r="AM888" s="39"/>
      <c r="AN888" s="39"/>
      <c r="AO888" s="39"/>
      <c r="AP888" s="39"/>
      <c r="AQ888" s="39"/>
      <c r="AR888" s="39"/>
      <c r="AS888" s="39"/>
      <c r="AT888" s="39"/>
      <c r="AU888" s="39"/>
      <c r="AV888" s="39"/>
      <c r="AW888" s="39"/>
      <c r="AX888" s="39"/>
      <c r="AY888" s="39"/>
      <c r="AZ888" s="39"/>
      <c r="BA888" s="39"/>
      <c r="BB888" s="39"/>
      <c r="BC888" s="39"/>
      <c r="BD888" s="39"/>
      <c r="BE888" s="39"/>
      <c r="BF888" s="39"/>
      <c r="BG888" s="39"/>
      <c r="BH888" s="39"/>
      <c r="BI888" s="39"/>
      <c r="BJ888" s="39"/>
      <c r="BK888" s="39"/>
      <c r="BL888" s="39"/>
      <c r="BM888" s="39"/>
    </row>
    <row r="889" spans="1:65" x14ac:dyDescent="0.15">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c r="AM889" s="39"/>
      <c r="AN889" s="39"/>
      <c r="AO889" s="39"/>
      <c r="AP889" s="39"/>
      <c r="AQ889" s="39"/>
      <c r="AR889" s="39"/>
      <c r="AS889" s="39"/>
      <c r="AT889" s="39"/>
      <c r="AU889" s="39"/>
      <c r="AV889" s="39"/>
      <c r="AW889" s="39"/>
      <c r="AX889" s="39"/>
      <c r="AY889" s="39"/>
      <c r="AZ889" s="39"/>
      <c r="BA889" s="39"/>
      <c r="BB889" s="39"/>
      <c r="BC889" s="39"/>
      <c r="BD889" s="39"/>
      <c r="BE889" s="39"/>
      <c r="BF889" s="39"/>
      <c r="BG889" s="39"/>
      <c r="BH889" s="39"/>
      <c r="BI889" s="39"/>
      <c r="BJ889" s="39"/>
      <c r="BK889" s="39"/>
      <c r="BL889" s="39"/>
      <c r="BM889" s="39"/>
    </row>
    <row r="890" spans="1:65" x14ac:dyDescent="0.15">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c r="AM890" s="39"/>
      <c r="AN890" s="39"/>
      <c r="AO890" s="39"/>
      <c r="AP890" s="39"/>
      <c r="AQ890" s="39"/>
      <c r="AR890" s="39"/>
      <c r="AS890" s="39"/>
      <c r="AT890" s="39"/>
      <c r="AU890" s="39"/>
      <c r="AV890" s="39"/>
      <c r="AW890" s="39"/>
      <c r="AX890" s="39"/>
      <c r="AY890" s="39"/>
      <c r="AZ890" s="39"/>
      <c r="BA890" s="39"/>
      <c r="BB890" s="39"/>
      <c r="BC890" s="39"/>
      <c r="BD890" s="39"/>
      <c r="BE890" s="39"/>
      <c r="BF890" s="39"/>
      <c r="BG890" s="39"/>
      <c r="BH890" s="39"/>
      <c r="BI890" s="39"/>
      <c r="BJ890" s="39"/>
      <c r="BK890" s="39"/>
      <c r="BL890" s="39"/>
      <c r="BM890" s="39"/>
    </row>
    <row r="891" spans="1:65" x14ac:dyDescent="0.15">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c r="AM891" s="39"/>
      <c r="AN891" s="39"/>
      <c r="AO891" s="39"/>
      <c r="AP891" s="39"/>
      <c r="AQ891" s="39"/>
      <c r="AR891" s="39"/>
      <c r="AS891" s="39"/>
      <c r="AT891" s="39"/>
      <c r="AU891" s="39"/>
      <c r="AV891" s="39"/>
      <c r="AW891" s="39"/>
      <c r="AX891" s="39"/>
      <c r="AY891" s="39"/>
      <c r="AZ891" s="39"/>
      <c r="BA891" s="39"/>
      <c r="BB891" s="39"/>
      <c r="BC891" s="39"/>
      <c r="BD891" s="39"/>
      <c r="BE891" s="39"/>
      <c r="BF891" s="39"/>
      <c r="BG891" s="39"/>
      <c r="BH891" s="39"/>
      <c r="BI891" s="39"/>
      <c r="BJ891" s="39"/>
      <c r="BK891" s="39"/>
      <c r="BL891" s="39"/>
      <c r="BM891" s="39"/>
    </row>
    <row r="892" spans="1:65" x14ac:dyDescent="0.15">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c r="AR892" s="39"/>
      <c r="AS892" s="39"/>
      <c r="AT892" s="39"/>
      <c r="AU892" s="39"/>
      <c r="AV892" s="39"/>
      <c r="AW892" s="39"/>
      <c r="AX892" s="39"/>
      <c r="AY892" s="39"/>
      <c r="AZ892" s="39"/>
      <c r="BA892" s="39"/>
      <c r="BB892" s="39"/>
      <c r="BC892" s="39"/>
      <c r="BD892" s="39"/>
      <c r="BE892" s="39"/>
      <c r="BF892" s="39"/>
      <c r="BG892" s="39"/>
      <c r="BH892" s="39"/>
      <c r="BI892" s="39"/>
      <c r="BJ892" s="39"/>
      <c r="BK892" s="39"/>
      <c r="BL892" s="39"/>
      <c r="BM892" s="39"/>
    </row>
    <row r="893" spans="1:65" x14ac:dyDescent="0.15">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c r="AM893" s="39"/>
      <c r="AN893" s="39"/>
      <c r="AO893" s="39"/>
      <c r="AP893" s="39"/>
      <c r="AQ893" s="39"/>
      <c r="AR893" s="39"/>
      <c r="AS893" s="39"/>
      <c r="AT893" s="39"/>
      <c r="AU893" s="39"/>
      <c r="AV893" s="39"/>
      <c r="AW893" s="39"/>
      <c r="AX893" s="39"/>
      <c r="AY893" s="39"/>
      <c r="AZ893" s="39"/>
      <c r="BA893" s="39"/>
      <c r="BB893" s="39"/>
      <c r="BC893" s="39"/>
      <c r="BD893" s="39"/>
      <c r="BE893" s="39"/>
      <c r="BF893" s="39"/>
      <c r="BG893" s="39"/>
      <c r="BH893" s="39"/>
      <c r="BI893" s="39"/>
      <c r="BJ893" s="39"/>
      <c r="BK893" s="39"/>
      <c r="BL893" s="39"/>
      <c r="BM893" s="39"/>
    </row>
    <row r="894" spans="1:65" x14ac:dyDescent="0.15">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c r="AM894" s="39"/>
      <c r="AN894" s="39"/>
      <c r="AO894" s="39"/>
      <c r="AP894" s="39"/>
      <c r="AQ894" s="39"/>
      <c r="AR894" s="39"/>
      <c r="AS894" s="39"/>
      <c r="AT894" s="39"/>
      <c r="AU894" s="39"/>
      <c r="AV894" s="39"/>
      <c r="AW894" s="39"/>
      <c r="AX894" s="39"/>
      <c r="AY894" s="39"/>
      <c r="AZ894" s="39"/>
      <c r="BA894" s="39"/>
      <c r="BB894" s="39"/>
      <c r="BC894" s="39"/>
      <c r="BD894" s="39"/>
      <c r="BE894" s="39"/>
      <c r="BF894" s="39"/>
      <c r="BG894" s="39"/>
      <c r="BH894" s="39"/>
      <c r="BI894" s="39"/>
      <c r="BJ894" s="39"/>
      <c r="BK894" s="39"/>
      <c r="BL894" s="39"/>
      <c r="BM894" s="39"/>
    </row>
    <row r="895" spans="1:65" x14ac:dyDescent="0.1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c r="AP895" s="39"/>
      <c r="AQ895" s="39"/>
      <c r="AR895" s="39"/>
      <c r="AS895" s="39"/>
      <c r="AT895" s="39"/>
      <c r="AU895" s="39"/>
      <c r="AV895" s="39"/>
      <c r="AW895" s="39"/>
      <c r="AX895" s="39"/>
      <c r="AY895" s="39"/>
      <c r="AZ895" s="39"/>
      <c r="BA895" s="39"/>
      <c r="BB895" s="39"/>
      <c r="BC895" s="39"/>
      <c r="BD895" s="39"/>
      <c r="BE895" s="39"/>
      <c r="BF895" s="39"/>
      <c r="BG895" s="39"/>
      <c r="BH895" s="39"/>
      <c r="BI895" s="39"/>
      <c r="BJ895" s="39"/>
      <c r="BK895" s="39"/>
      <c r="BL895" s="39"/>
      <c r="BM895" s="39"/>
    </row>
    <row r="896" spans="1:65" x14ac:dyDescent="0.15">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c r="AM896" s="39"/>
      <c r="AN896" s="39"/>
      <c r="AO896" s="39"/>
      <c r="AP896" s="39"/>
      <c r="AQ896" s="39"/>
      <c r="AR896" s="39"/>
      <c r="AS896" s="39"/>
      <c r="AT896" s="39"/>
      <c r="AU896" s="39"/>
      <c r="AV896" s="39"/>
      <c r="AW896" s="39"/>
      <c r="AX896" s="39"/>
      <c r="AY896" s="39"/>
      <c r="AZ896" s="39"/>
      <c r="BA896" s="39"/>
      <c r="BB896" s="39"/>
      <c r="BC896" s="39"/>
      <c r="BD896" s="39"/>
      <c r="BE896" s="39"/>
      <c r="BF896" s="39"/>
      <c r="BG896" s="39"/>
      <c r="BH896" s="39"/>
      <c r="BI896" s="39"/>
      <c r="BJ896" s="39"/>
      <c r="BK896" s="39"/>
      <c r="BL896" s="39"/>
      <c r="BM896" s="39"/>
    </row>
    <row r="897" spans="1:65" x14ac:dyDescent="0.15">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c r="AR897" s="39"/>
      <c r="AS897" s="39"/>
      <c r="AT897" s="39"/>
      <c r="AU897" s="39"/>
      <c r="AV897" s="39"/>
      <c r="AW897" s="39"/>
      <c r="AX897" s="39"/>
      <c r="AY897" s="39"/>
      <c r="AZ897" s="39"/>
      <c r="BA897" s="39"/>
      <c r="BB897" s="39"/>
      <c r="BC897" s="39"/>
      <c r="BD897" s="39"/>
      <c r="BE897" s="39"/>
      <c r="BF897" s="39"/>
      <c r="BG897" s="39"/>
      <c r="BH897" s="39"/>
      <c r="BI897" s="39"/>
      <c r="BJ897" s="39"/>
      <c r="BK897" s="39"/>
      <c r="BL897" s="39"/>
      <c r="BM897" s="39"/>
    </row>
    <row r="898" spans="1:65" x14ac:dyDescent="0.15">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c r="AM898" s="39"/>
      <c r="AN898" s="39"/>
      <c r="AO898" s="39"/>
      <c r="AP898" s="39"/>
      <c r="AQ898" s="39"/>
      <c r="AR898" s="39"/>
      <c r="AS898" s="39"/>
      <c r="AT898" s="39"/>
      <c r="AU898" s="39"/>
      <c r="AV898" s="39"/>
      <c r="AW898" s="39"/>
      <c r="AX898" s="39"/>
      <c r="AY898" s="39"/>
      <c r="AZ898" s="39"/>
      <c r="BA898" s="39"/>
      <c r="BB898" s="39"/>
      <c r="BC898" s="39"/>
      <c r="BD898" s="39"/>
      <c r="BE898" s="39"/>
      <c r="BF898" s="39"/>
      <c r="BG898" s="39"/>
      <c r="BH898" s="39"/>
      <c r="BI898" s="39"/>
      <c r="BJ898" s="39"/>
      <c r="BK898" s="39"/>
      <c r="BL898" s="39"/>
      <c r="BM898" s="39"/>
    </row>
    <row r="899" spans="1:65" x14ac:dyDescent="0.15">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c r="AM899" s="39"/>
      <c r="AN899" s="39"/>
      <c r="AO899" s="39"/>
      <c r="AP899" s="39"/>
      <c r="AQ899" s="39"/>
      <c r="AR899" s="39"/>
      <c r="AS899" s="39"/>
      <c r="AT899" s="39"/>
      <c r="AU899" s="39"/>
      <c r="AV899" s="39"/>
      <c r="AW899" s="39"/>
      <c r="AX899" s="39"/>
      <c r="AY899" s="39"/>
      <c r="AZ899" s="39"/>
      <c r="BA899" s="39"/>
      <c r="BB899" s="39"/>
      <c r="BC899" s="39"/>
      <c r="BD899" s="39"/>
      <c r="BE899" s="39"/>
      <c r="BF899" s="39"/>
      <c r="BG899" s="39"/>
      <c r="BH899" s="39"/>
      <c r="BI899" s="39"/>
      <c r="BJ899" s="39"/>
      <c r="BK899" s="39"/>
      <c r="BL899" s="39"/>
      <c r="BM899" s="39"/>
    </row>
    <row r="900" spans="1:65" x14ac:dyDescent="0.15">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c r="AM900" s="39"/>
      <c r="AN900" s="39"/>
      <c r="AO900" s="39"/>
      <c r="AP900" s="39"/>
      <c r="AQ900" s="39"/>
      <c r="AR900" s="39"/>
      <c r="AS900" s="39"/>
      <c r="AT900" s="39"/>
      <c r="AU900" s="39"/>
      <c r="AV900" s="39"/>
      <c r="AW900" s="39"/>
      <c r="AX900" s="39"/>
      <c r="AY900" s="39"/>
      <c r="AZ900" s="39"/>
      <c r="BA900" s="39"/>
      <c r="BB900" s="39"/>
      <c r="BC900" s="39"/>
      <c r="BD900" s="39"/>
      <c r="BE900" s="39"/>
      <c r="BF900" s="39"/>
      <c r="BG900" s="39"/>
      <c r="BH900" s="39"/>
      <c r="BI900" s="39"/>
      <c r="BJ900" s="39"/>
      <c r="BK900" s="39"/>
      <c r="BL900" s="39"/>
      <c r="BM900" s="39"/>
    </row>
    <row r="901" spans="1:65" x14ac:dyDescent="0.15">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c r="AP901" s="39"/>
      <c r="AQ901" s="39"/>
      <c r="AR901" s="39"/>
      <c r="AS901" s="39"/>
      <c r="AT901" s="39"/>
      <c r="AU901" s="39"/>
      <c r="AV901" s="39"/>
      <c r="AW901" s="39"/>
      <c r="AX901" s="39"/>
      <c r="AY901" s="39"/>
      <c r="AZ901" s="39"/>
      <c r="BA901" s="39"/>
      <c r="BB901" s="39"/>
      <c r="BC901" s="39"/>
      <c r="BD901" s="39"/>
      <c r="BE901" s="39"/>
      <c r="BF901" s="39"/>
      <c r="BG901" s="39"/>
      <c r="BH901" s="39"/>
      <c r="BI901" s="39"/>
      <c r="BJ901" s="39"/>
      <c r="BK901" s="39"/>
      <c r="BL901" s="39"/>
      <c r="BM901" s="39"/>
    </row>
    <row r="902" spans="1:65" x14ac:dyDescent="0.15">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c r="AM902" s="39"/>
      <c r="AN902" s="39"/>
      <c r="AO902" s="39"/>
      <c r="AP902" s="39"/>
      <c r="AQ902" s="39"/>
      <c r="AR902" s="39"/>
      <c r="AS902" s="39"/>
      <c r="AT902" s="39"/>
      <c r="AU902" s="39"/>
      <c r="AV902" s="39"/>
      <c r="AW902" s="39"/>
      <c r="AX902" s="39"/>
      <c r="AY902" s="39"/>
      <c r="AZ902" s="39"/>
      <c r="BA902" s="39"/>
      <c r="BB902" s="39"/>
      <c r="BC902" s="39"/>
      <c r="BD902" s="39"/>
      <c r="BE902" s="39"/>
      <c r="BF902" s="39"/>
      <c r="BG902" s="39"/>
      <c r="BH902" s="39"/>
      <c r="BI902" s="39"/>
      <c r="BJ902" s="39"/>
      <c r="BK902" s="39"/>
      <c r="BL902" s="39"/>
      <c r="BM902" s="39"/>
    </row>
    <row r="903" spans="1:65" x14ac:dyDescent="0.15">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c r="AM903" s="39"/>
      <c r="AN903" s="39"/>
      <c r="AO903" s="39"/>
      <c r="AP903" s="39"/>
      <c r="AQ903" s="39"/>
      <c r="AR903" s="39"/>
      <c r="AS903" s="39"/>
      <c r="AT903" s="39"/>
      <c r="AU903" s="39"/>
      <c r="AV903" s="39"/>
      <c r="AW903" s="39"/>
      <c r="AX903" s="39"/>
      <c r="AY903" s="39"/>
      <c r="AZ903" s="39"/>
      <c r="BA903" s="39"/>
      <c r="BB903" s="39"/>
      <c r="BC903" s="39"/>
      <c r="BD903" s="39"/>
      <c r="BE903" s="39"/>
      <c r="BF903" s="39"/>
      <c r="BG903" s="39"/>
      <c r="BH903" s="39"/>
      <c r="BI903" s="39"/>
      <c r="BJ903" s="39"/>
      <c r="BK903" s="39"/>
      <c r="BL903" s="39"/>
      <c r="BM903" s="39"/>
    </row>
    <row r="904" spans="1:65" x14ac:dyDescent="0.15">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c r="AM904" s="39"/>
      <c r="AN904" s="39"/>
      <c r="AO904" s="39"/>
      <c r="AP904" s="39"/>
      <c r="AQ904" s="39"/>
      <c r="AR904" s="39"/>
      <c r="AS904" s="39"/>
      <c r="AT904" s="39"/>
      <c r="AU904" s="39"/>
      <c r="AV904" s="39"/>
      <c r="AW904" s="39"/>
      <c r="AX904" s="39"/>
      <c r="AY904" s="39"/>
      <c r="AZ904" s="39"/>
      <c r="BA904" s="39"/>
      <c r="BB904" s="39"/>
      <c r="BC904" s="39"/>
      <c r="BD904" s="39"/>
      <c r="BE904" s="39"/>
      <c r="BF904" s="39"/>
      <c r="BG904" s="39"/>
      <c r="BH904" s="39"/>
      <c r="BI904" s="39"/>
      <c r="BJ904" s="39"/>
      <c r="BK904" s="39"/>
      <c r="BL904" s="39"/>
      <c r="BM904" s="39"/>
    </row>
    <row r="905" spans="1:65" x14ac:dyDescent="0.1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c r="AR905" s="39"/>
      <c r="AS905" s="39"/>
      <c r="AT905" s="39"/>
      <c r="AU905" s="39"/>
      <c r="AV905" s="39"/>
      <c r="AW905" s="39"/>
      <c r="AX905" s="39"/>
      <c r="AY905" s="39"/>
      <c r="AZ905" s="39"/>
      <c r="BA905" s="39"/>
      <c r="BB905" s="39"/>
      <c r="BC905" s="39"/>
      <c r="BD905" s="39"/>
      <c r="BE905" s="39"/>
      <c r="BF905" s="39"/>
      <c r="BG905" s="39"/>
      <c r="BH905" s="39"/>
      <c r="BI905" s="39"/>
      <c r="BJ905" s="39"/>
      <c r="BK905" s="39"/>
      <c r="BL905" s="39"/>
      <c r="BM905" s="39"/>
    </row>
    <row r="906" spans="1:65" x14ac:dyDescent="0.15">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c r="AM906" s="39"/>
      <c r="AN906" s="39"/>
      <c r="AO906" s="39"/>
      <c r="AP906" s="39"/>
      <c r="AQ906" s="39"/>
      <c r="AR906" s="39"/>
      <c r="AS906" s="39"/>
      <c r="AT906" s="39"/>
      <c r="AU906" s="39"/>
      <c r="AV906" s="39"/>
      <c r="AW906" s="39"/>
      <c r="AX906" s="39"/>
      <c r="AY906" s="39"/>
      <c r="AZ906" s="39"/>
      <c r="BA906" s="39"/>
      <c r="BB906" s="39"/>
      <c r="BC906" s="39"/>
      <c r="BD906" s="39"/>
      <c r="BE906" s="39"/>
      <c r="BF906" s="39"/>
      <c r="BG906" s="39"/>
      <c r="BH906" s="39"/>
      <c r="BI906" s="39"/>
      <c r="BJ906" s="39"/>
      <c r="BK906" s="39"/>
      <c r="BL906" s="39"/>
      <c r="BM906" s="39"/>
    </row>
    <row r="907" spans="1:65" x14ac:dyDescent="0.15">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c r="AP907" s="39"/>
      <c r="AQ907" s="39"/>
      <c r="AR907" s="39"/>
      <c r="AS907" s="39"/>
      <c r="AT907" s="39"/>
      <c r="AU907" s="39"/>
      <c r="AV907" s="39"/>
      <c r="AW907" s="39"/>
      <c r="AX907" s="39"/>
      <c r="AY907" s="39"/>
      <c r="AZ907" s="39"/>
      <c r="BA907" s="39"/>
      <c r="BB907" s="39"/>
      <c r="BC907" s="39"/>
      <c r="BD907" s="39"/>
      <c r="BE907" s="39"/>
      <c r="BF907" s="39"/>
      <c r="BG907" s="39"/>
      <c r="BH907" s="39"/>
      <c r="BI907" s="39"/>
      <c r="BJ907" s="39"/>
      <c r="BK907" s="39"/>
      <c r="BL907" s="39"/>
      <c r="BM907" s="39"/>
    </row>
    <row r="908" spans="1:65" x14ac:dyDescent="0.15">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c r="AM908" s="39"/>
      <c r="AN908" s="39"/>
      <c r="AO908" s="39"/>
      <c r="AP908" s="39"/>
      <c r="AQ908" s="39"/>
      <c r="AR908" s="39"/>
      <c r="AS908" s="39"/>
      <c r="AT908" s="39"/>
      <c r="AU908" s="39"/>
      <c r="AV908" s="39"/>
      <c r="AW908" s="39"/>
      <c r="AX908" s="39"/>
      <c r="AY908" s="39"/>
      <c r="AZ908" s="39"/>
      <c r="BA908" s="39"/>
      <c r="BB908" s="39"/>
      <c r="BC908" s="39"/>
      <c r="BD908" s="39"/>
      <c r="BE908" s="39"/>
      <c r="BF908" s="39"/>
      <c r="BG908" s="39"/>
      <c r="BH908" s="39"/>
      <c r="BI908" s="39"/>
      <c r="BJ908" s="39"/>
      <c r="BK908" s="39"/>
      <c r="BL908" s="39"/>
      <c r="BM908" s="39"/>
    </row>
    <row r="909" spans="1:65" x14ac:dyDescent="0.15">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c r="AR909" s="39"/>
      <c r="AS909" s="39"/>
      <c r="AT909" s="39"/>
      <c r="AU909" s="39"/>
      <c r="AV909" s="39"/>
      <c r="AW909" s="39"/>
      <c r="AX909" s="39"/>
      <c r="AY909" s="39"/>
      <c r="AZ909" s="39"/>
      <c r="BA909" s="39"/>
      <c r="BB909" s="39"/>
      <c r="BC909" s="39"/>
      <c r="BD909" s="39"/>
      <c r="BE909" s="39"/>
      <c r="BF909" s="39"/>
      <c r="BG909" s="39"/>
      <c r="BH909" s="39"/>
      <c r="BI909" s="39"/>
      <c r="BJ909" s="39"/>
      <c r="BK909" s="39"/>
      <c r="BL909" s="39"/>
      <c r="BM909" s="39"/>
    </row>
    <row r="910" spans="1:65" x14ac:dyDescent="0.15">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c r="AM910" s="39"/>
      <c r="AN910" s="39"/>
      <c r="AO910" s="39"/>
      <c r="AP910" s="39"/>
      <c r="AQ910" s="39"/>
      <c r="AR910" s="39"/>
      <c r="AS910" s="39"/>
      <c r="AT910" s="39"/>
      <c r="AU910" s="39"/>
      <c r="AV910" s="39"/>
      <c r="AW910" s="39"/>
      <c r="AX910" s="39"/>
      <c r="AY910" s="39"/>
      <c r="AZ910" s="39"/>
      <c r="BA910" s="39"/>
      <c r="BB910" s="39"/>
      <c r="BC910" s="39"/>
      <c r="BD910" s="39"/>
      <c r="BE910" s="39"/>
      <c r="BF910" s="39"/>
      <c r="BG910" s="39"/>
      <c r="BH910" s="39"/>
      <c r="BI910" s="39"/>
      <c r="BJ910" s="39"/>
      <c r="BK910" s="39"/>
      <c r="BL910" s="39"/>
      <c r="BM910" s="39"/>
    </row>
    <row r="911" spans="1:65" x14ac:dyDescent="0.15">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c r="AM911" s="39"/>
      <c r="AN911" s="39"/>
      <c r="AO911" s="39"/>
      <c r="AP911" s="39"/>
      <c r="AQ911" s="39"/>
      <c r="AR911" s="39"/>
      <c r="AS911" s="39"/>
      <c r="AT911" s="39"/>
      <c r="AU911" s="39"/>
      <c r="AV911" s="39"/>
      <c r="AW911" s="39"/>
      <c r="AX911" s="39"/>
      <c r="AY911" s="39"/>
      <c r="AZ911" s="39"/>
      <c r="BA911" s="39"/>
      <c r="BB911" s="39"/>
      <c r="BC911" s="39"/>
      <c r="BD911" s="39"/>
      <c r="BE911" s="39"/>
      <c r="BF911" s="39"/>
      <c r="BG911" s="39"/>
      <c r="BH911" s="39"/>
      <c r="BI911" s="39"/>
      <c r="BJ911" s="39"/>
      <c r="BK911" s="39"/>
      <c r="BL911" s="39"/>
      <c r="BM911" s="39"/>
    </row>
    <row r="912" spans="1:65" x14ac:dyDescent="0.15">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c r="AP912" s="39"/>
      <c r="AQ912" s="39"/>
      <c r="AR912" s="39"/>
      <c r="AS912" s="39"/>
      <c r="AT912" s="39"/>
      <c r="AU912" s="39"/>
      <c r="AV912" s="39"/>
      <c r="AW912" s="39"/>
      <c r="AX912" s="39"/>
      <c r="AY912" s="39"/>
      <c r="AZ912" s="39"/>
      <c r="BA912" s="39"/>
      <c r="BB912" s="39"/>
      <c r="BC912" s="39"/>
      <c r="BD912" s="39"/>
      <c r="BE912" s="39"/>
      <c r="BF912" s="39"/>
      <c r="BG912" s="39"/>
      <c r="BH912" s="39"/>
      <c r="BI912" s="39"/>
      <c r="BJ912" s="39"/>
      <c r="BK912" s="39"/>
      <c r="BL912" s="39"/>
      <c r="BM912" s="39"/>
    </row>
    <row r="913" spans="1:65" x14ac:dyDescent="0.15">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c r="AM913" s="39"/>
      <c r="AN913" s="39"/>
      <c r="AO913" s="39"/>
      <c r="AP913" s="39"/>
      <c r="AQ913" s="39"/>
      <c r="AR913" s="39"/>
      <c r="AS913" s="39"/>
      <c r="AT913" s="39"/>
      <c r="AU913" s="39"/>
      <c r="AV913" s="39"/>
      <c r="AW913" s="39"/>
      <c r="AX913" s="39"/>
      <c r="AY913" s="39"/>
      <c r="AZ913" s="39"/>
      <c r="BA913" s="39"/>
      <c r="BB913" s="39"/>
      <c r="BC913" s="39"/>
      <c r="BD913" s="39"/>
      <c r="BE913" s="39"/>
      <c r="BF913" s="39"/>
      <c r="BG913" s="39"/>
      <c r="BH913" s="39"/>
      <c r="BI913" s="39"/>
      <c r="BJ913" s="39"/>
      <c r="BK913" s="39"/>
      <c r="BL913" s="39"/>
      <c r="BM913" s="39"/>
    </row>
    <row r="914" spans="1:65" x14ac:dyDescent="0.15">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c r="AR914" s="39"/>
      <c r="AS914" s="39"/>
      <c r="AT914" s="39"/>
      <c r="AU914" s="39"/>
      <c r="AV914" s="39"/>
      <c r="AW914" s="39"/>
      <c r="AX914" s="39"/>
      <c r="AY914" s="39"/>
      <c r="AZ914" s="39"/>
      <c r="BA914" s="39"/>
      <c r="BB914" s="39"/>
      <c r="BC914" s="39"/>
      <c r="BD914" s="39"/>
      <c r="BE914" s="39"/>
      <c r="BF914" s="39"/>
      <c r="BG914" s="39"/>
      <c r="BH914" s="39"/>
      <c r="BI914" s="39"/>
      <c r="BJ914" s="39"/>
      <c r="BK914" s="39"/>
      <c r="BL914" s="39"/>
      <c r="BM914" s="39"/>
    </row>
    <row r="915" spans="1:65" x14ac:dyDescent="0.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c r="AM915" s="39"/>
      <c r="AN915" s="39"/>
      <c r="AO915" s="39"/>
      <c r="AP915" s="39"/>
      <c r="AQ915" s="39"/>
      <c r="AR915" s="39"/>
      <c r="AS915" s="39"/>
      <c r="AT915" s="39"/>
      <c r="AU915" s="39"/>
      <c r="AV915" s="39"/>
      <c r="AW915" s="39"/>
      <c r="AX915" s="39"/>
      <c r="AY915" s="39"/>
      <c r="AZ915" s="39"/>
      <c r="BA915" s="39"/>
      <c r="BB915" s="39"/>
      <c r="BC915" s="39"/>
      <c r="BD915" s="39"/>
      <c r="BE915" s="39"/>
      <c r="BF915" s="39"/>
      <c r="BG915" s="39"/>
      <c r="BH915" s="39"/>
      <c r="BI915" s="39"/>
      <c r="BJ915" s="39"/>
      <c r="BK915" s="39"/>
      <c r="BL915" s="39"/>
      <c r="BM915" s="39"/>
    </row>
    <row r="916" spans="1:65" x14ac:dyDescent="0.15">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c r="AM916" s="39"/>
      <c r="AN916" s="39"/>
      <c r="AO916" s="39"/>
      <c r="AP916" s="39"/>
      <c r="AQ916" s="39"/>
      <c r="AR916" s="39"/>
      <c r="AS916" s="39"/>
      <c r="AT916" s="39"/>
      <c r="AU916" s="39"/>
      <c r="AV916" s="39"/>
      <c r="AW916" s="39"/>
      <c r="AX916" s="39"/>
      <c r="AY916" s="39"/>
      <c r="AZ916" s="39"/>
      <c r="BA916" s="39"/>
      <c r="BB916" s="39"/>
      <c r="BC916" s="39"/>
      <c r="BD916" s="39"/>
      <c r="BE916" s="39"/>
      <c r="BF916" s="39"/>
      <c r="BG916" s="39"/>
      <c r="BH916" s="39"/>
      <c r="BI916" s="39"/>
      <c r="BJ916" s="39"/>
      <c r="BK916" s="39"/>
      <c r="BL916" s="39"/>
      <c r="BM916" s="39"/>
    </row>
    <row r="917" spans="1:65" x14ac:dyDescent="0.15">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c r="AM917" s="39"/>
      <c r="AN917" s="39"/>
      <c r="AO917" s="39"/>
      <c r="AP917" s="39"/>
      <c r="AQ917" s="39"/>
      <c r="AR917" s="39"/>
      <c r="AS917" s="39"/>
      <c r="AT917" s="39"/>
      <c r="AU917" s="39"/>
      <c r="AV917" s="39"/>
      <c r="AW917" s="39"/>
      <c r="AX917" s="39"/>
      <c r="AY917" s="39"/>
      <c r="AZ917" s="39"/>
      <c r="BA917" s="39"/>
      <c r="BB917" s="39"/>
      <c r="BC917" s="39"/>
      <c r="BD917" s="39"/>
      <c r="BE917" s="39"/>
      <c r="BF917" s="39"/>
      <c r="BG917" s="39"/>
      <c r="BH917" s="39"/>
      <c r="BI917" s="39"/>
      <c r="BJ917" s="39"/>
      <c r="BK917" s="39"/>
      <c r="BL917" s="39"/>
      <c r="BM917" s="39"/>
    </row>
    <row r="918" spans="1:65" x14ac:dyDescent="0.15">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c r="AM918" s="39"/>
      <c r="AN918" s="39"/>
      <c r="AO918" s="39"/>
      <c r="AP918" s="39"/>
      <c r="AQ918" s="39"/>
      <c r="AR918" s="39"/>
      <c r="AS918" s="39"/>
      <c r="AT918" s="39"/>
      <c r="AU918" s="39"/>
      <c r="AV918" s="39"/>
      <c r="AW918" s="39"/>
      <c r="AX918" s="39"/>
      <c r="AY918" s="39"/>
      <c r="AZ918" s="39"/>
      <c r="BA918" s="39"/>
      <c r="BB918" s="39"/>
      <c r="BC918" s="39"/>
      <c r="BD918" s="39"/>
      <c r="BE918" s="39"/>
      <c r="BF918" s="39"/>
      <c r="BG918" s="39"/>
      <c r="BH918" s="39"/>
      <c r="BI918" s="39"/>
      <c r="BJ918" s="39"/>
      <c r="BK918" s="39"/>
      <c r="BL918" s="39"/>
      <c r="BM918" s="39"/>
    </row>
    <row r="919" spans="1:65" x14ac:dyDescent="0.15">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c r="AR919" s="39"/>
      <c r="AS919" s="39"/>
      <c r="AT919" s="39"/>
      <c r="AU919" s="39"/>
      <c r="AV919" s="39"/>
      <c r="AW919" s="39"/>
      <c r="AX919" s="39"/>
      <c r="AY919" s="39"/>
      <c r="AZ919" s="39"/>
      <c r="BA919" s="39"/>
      <c r="BB919" s="39"/>
      <c r="BC919" s="39"/>
      <c r="BD919" s="39"/>
      <c r="BE919" s="39"/>
      <c r="BF919" s="39"/>
      <c r="BG919" s="39"/>
      <c r="BH919" s="39"/>
      <c r="BI919" s="39"/>
      <c r="BJ919" s="39"/>
      <c r="BK919" s="39"/>
      <c r="BL919" s="39"/>
      <c r="BM919" s="39"/>
    </row>
    <row r="920" spans="1:65" x14ac:dyDescent="0.15">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c r="AP920" s="39"/>
      <c r="AQ920" s="39"/>
      <c r="AR920" s="39"/>
      <c r="AS920" s="39"/>
      <c r="AT920" s="39"/>
      <c r="AU920" s="39"/>
      <c r="AV920" s="39"/>
      <c r="AW920" s="39"/>
      <c r="AX920" s="39"/>
      <c r="AY920" s="39"/>
      <c r="AZ920" s="39"/>
      <c r="BA920" s="39"/>
      <c r="BB920" s="39"/>
      <c r="BC920" s="39"/>
      <c r="BD920" s="39"/>
      <c r="BE920" s="39"/>
      <c r="BF920" s="39"/>
      <c r="BG920" s="39"/>
      <c r="BH920" s="39"/>
      <c r="BI920" s="39"/>
      <c r="BJ920" s="39"/>
      <c r="BK920" s="39"/>
      <c r="BL920" s="39"/>
      <c r="BM920" s="39"/>
    </row>
    <row r="921" spans="1:65" x14ac:dyDescent="0.15">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c r="AM921" s="39"/>
      <c r="AN921" s="39"/>
      <c r="AO921" s="39"/>
      <c r="AP921" s="39"/>
      <c r="AQ921" s="39"/>
      <c r="AR921" s="39"/>
      <c r="AS921" s="39"/>
      <c r="AT921" s="39"/>
      <c r="AU921" s="39"/>
      <c r="AV921" s="39"/>
      <c r="AW921" s="39"/>
      <c r="AX921" s="39"/>
      <c r="AY921" s="39"/>
      <c r="AZ921" s="39"/>
      <c r="BA921" s="39"/>
      <c r="BB921" s="39"/>
      <c r="BC921" s="39"/>
      <c r="BD921" s="39"/>
      <c r="BE921" s="39"/>
      <c r="BF921" s="39"/>
      <c r="BG921" s="39"/>
      <c r="BH921" s="39"/>
      <c r="BI921" s="39"/>
      <c r="BJ921" s="39"/>
      <c r="BK921" s="39"/>
      <c r="BL921" s="39"/>
      <c r="BM921" s="39"/>
    </row>
    <row r="922" spans="1:65" x14ac:dyDescent="0.15">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c r="AM922" s="39"/>
      <c r="AN922" s="39"/>
      <c r="AO922" s="39"/>
      <c r="AP922" s="39"/>
      <c r="AQ922" s="39"/>
      <c r="AR922" s="39"/>
      <c r="AS922" s="39"/>
      <c r="AT922" s="39"/>
      <c r="AU922" s="39"/>
      <c r="AV922" s="39"/>
      <c r="AW922" s="39"/>
      <c r="AX922" s="39"/>
      <c r="AY922" s="39"/>
      <c r="AZ922" s="39"/>
      <c r="BA922" s="39"/>
      <c r="BB922" s="39"/>
      <c r="BC922" s="39"/>
      <c r="BD922" s="39"/>
      <c r="BE922" s="39"/>
      <c r="BF922" s="39"/>
      <c r="BG922" s="39"/>
      <c r="BH922" s="39"/>
      <c r="BI922" s="39"/>
      <c r="BJ922" s="39"/>
      <c r="BK922" s="39"/>
      <c r="BL922" s="39"/>
      <c r="BM922" s="39"/>
    </row>
    <row r="923" spans="1:65" x14ac:dyDescent="0.15">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c r="AM923" s="39"/>
      <c r="AN923" s="39"/>
      <c r="AO923" s="39"/>
      <c r="AP923" s="39"/>
      <c r="AQ923" s="39"/>
      <c r="AR923" s="39"/>
      <c r="AS923" s="39"/>
      <c r="AT923" s="39"/>
      <c r="AU923" s="39"/>
      <c r="AV923" s="39"/>
      <c r="AW923" s="39"/>
      <c r="AX923" s="39"/>
      <c r="AY923" s="39"/>
      <c r="AZ923" s="39"/>
      <c r="BA923" s="39"/>
      <c r="BB923" s="39"/>
      <c r="BC923" s="39"/>
      <c r="BD923" s="39"/>
      <c r="BE923" s="39"/>
      <c r="BF923" s="39"/>
      <c r="BG923" s="39"/>
      <c r="BH923" s="39"/>
      <c r="BI923" s="39"/>
      <c r="BJ923" s="39"/>
      <c r="BK923" s="39"/>
      <c r="BL923" s="39"/>
      <c r="BM923" s="39"/>
    </row>
    <row r="924" spans="1:65" x14ac:dyDescent="0.15">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c r="AN924" s="39"/>
      <c r="AO924" s="39"/>
      <c r="AP924" s="39"/>
      <c r="AQ924" s="39"/>
      <c r="AR924" s="39"/>
      <c r="AS924" s="39"/>
      <c r="AT924" s="39"/>
      <c r="AU924" s="39"/>
      <c r="AV924" s="39"/>
      <c r="AW924" s="39"/>
      <c r="AX924" s="39"/>
      <c r="AY924" s="39"/>
      <c r="AZ924" s="39"/>
      <c r="BA924" s="39"/>
      <c r="BB924" s="39"/>
      <c r="BC924" s="39"/>
      <c r="BD924" s="39"/>
      <c r="BE924" s="39"/>
      <c r="BF924" s="39"/>
      <c r="BG924" s="39"/>
      <c r="BH924" s="39"/>
      <c r="BI924" s="39"/>
      <c r="BJ924" s="39"/>
      <c r="BK924" s="39"/>
      <c r="BL924" s="39"/>
      <c r="BM924" s="39"/>
    </row>
    <row r="925" spans="1:65" x14ac:dyDescent="0.1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c r="AM925" s="39"/>
      <c r="AN925" s="39"/>
      <c r="AO925" s="39"/>
      <c r="AP925" s="39"/>
      <c r="AQ925" s="39"/>
      <c r="AR925" s="39"/>
      <c r="AS925" s="39"/>
      <c r="AT925" s="39"/>
      <c r="AU925" s="39"/>
      <c r="AV925" s="39"/>
      <c r="AW925" s="39"/>
      <c r="AX925" s="39"/>
      <c r="AY925" s="39"/>
      <c r="AZ925" s="39"/>
      <c r="BA925" s="39"/>
      <c r="BB925" s="39"/>
      <c r="BC925" s="39"/>
      <c r="BD925" s="39"/>
      <c r="BE925" s="39"/>
      <c r="BF925" s="39"/>
      <c r="BG925" s="39"/>
      <c r="BH925" s="39"/>
      <c r="BI925" s="39"/>
      <c r="BJ925" s="39"/>
      <c r="BK925" s="39"/>
      <c r="BL925" s="39"/>
      <c r="BM925" s="39"/>
    </row>
    <row r="926" spans="1:65" x14ac:dyDescent="0.15">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c r="AM926" s="39"/>
      <c r="AN926" s="39"/>
      <c r="AO926" s="39"/>
      <c r="AP926" s="39"/>
      <c r="AQ926" s="39"/>
      <c r="AR926" s="39"/>
      <c r="AS926" s="39"/>
      <c r="AT926" s="39"/>
      <c r="AU926" s="39"/>
      <c r="AV926" s="39"/>
      <c r="AW926" s="39"/>
      <c r="AX926" s="39"/>
      <c r="AY926" s="39"/>
      <c r="AZ926" s="39"/>
      <c r="BA926" s="39"/>
      <c r="BB926" s="39"/>
      <c r="BC926" s="39"/>
      <c r="BD926" s="39"/>
      <c r="BE926" s="39"/>
      <c r="BF926" s="39"/>
      <c r="BG926" s="39"/>
      <c r="BH926" s="39"/>
      <c r="BI926" s="39"/>
      <c r="BJ926" s="39"/>
      <c r="BK926" s="39"/>
      <c r="BL926" s="39"/>
      <c r="BM926" s="39"/>
    </row>
    <row r="927" spans="1:65" x14ac:dyDescent="0.15">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B927" s="39"/>
      <c r="BC927" s="39"/>
      <c r="BD927" s="39"/>
      <c r="BE927" s="39"/>
      <c r="BF927" s="39"/>
      <c r="BG927" s="39"/>
      <c r="BH927" s="39"/>
      <c r="BI927" s="39"/>
      <c r="BJ927" s="39"/>
      <c r="BK927" s="39"/>
      <c r="BL927" s="39"/>
      <c r="BM927" s="39"/>
    </row>
    <row r="928" spans="1:65" x14ac:dyDescent="0.15">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row>
    <row r="929" spans="1:65" x14ac:dyDescent="0.15">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c r="BC929" s="39"/>
      <c r="BD929" s="39"/>
      <c r="BE929" s="39"/>
      <c r="BF929" s="39"/>
      <c r="BG929" s="39"/>
      <c r="BH929" s="39"/>
      <c r="BI929" s="39"/>
      <c r="BJ929" s="39"/>
      <c r="BK929" s="39"/>
      <c r="BL929" s="39"/>
      <c r="BM929" s="39"/>
    </row>
    <row r="930" spans="1:65" x14ac:dyDescent="0.15">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c r="AR930" s="39"/>
      <c r="AS930" s="39"/>
      <c r="AT930" s="39"/>
      <c r="AU930" s="39"/>
      <c r="AV930" s="39"/>
      <c r="AW930" s="39"/>
      <c r="AX930" s="39"/>
      <c r="AY930" s="39"/>
      <c r="AZ930" s="39"/>
      <c r="BA930" s="39"/>
      <c r="BB930" s="39"/>
      <c r="BC930" s="39"/>
      <c r="BD930" s="39"/>
      <c r="BE930" s="39"/>
      <c r="BF930" s="39"/>
      <c r="BG930" s="39"/>
      <c r="BH930" s="39"/>
      <c r="BI930" s="39"/>
      <c r="BJ930" s="39"/>
      <c r="BK930" s="39"/>
      <c r="BL930" s="39"/>
      <c r="BM930" s="39"/>
    </row>
    <row r="931" spans="1:65" x14ac:dyDescent="0.15">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c r="AR931" s="39"/>
      <c r="AS931" s="39"/>
      <c r="AT931" s="39"/>
      <c r="AU931" s="39"/>
      <c r="AV931" s="39"/>
      <c r="AW931" s="39"/>
      <c r="AX931" s="39"/>
      <c r="AY931" s="39"/>
      <c r="AZ931" s="39"/>
      <c r="BA931" s="39"/>
      <c r="BB931" s="39"/>
      <c r="BC931" s="39"/>
      <c r="BD931" s="39"/>
      <c r="BE931" s="39"/>
      <c r="BF931" s="39"/>
      <c r="BG931" s="39"/>
      <c r="BH931" s="39"/>
      <c r="BI931" s="39"/>
      <c r="BJ931" s="39"/>
      <c r="BK931" s="39"/>
      <c r="BL931" s="39"/>
      <c r="BM931" s="39"/>
    </row>
    <row r="932" spans="1:65" x14ac:dyDescent="0.15">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B932" s="39"/>
      <c r="BC932" s="39"/>
      <c r="BD932" s="39"/>
      <c r="BE932" s="39"/>
      <c r="BF932" s="39"/>
      <c r="BG932" s="39"/>
      <c r="BH932" s="39"/>
      <c r="BI932" s="39"/>
      <c r="BJ932" s="39"/>
      <c r="BK932" s="39"/>
      <c r="BL932" s="39"/>
      <c r="BM932" s="39"/>
    </row>
    <row r="933" spans="1:65" x14ac:dyDescent="0.15">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B933" s="39"/>
      <c r="BC933" s="39"/>
      <c r="BD933" s="39"/>
      <c r="BE933" s="39"/>
      <c r="BF933" s="39"/>
      <c r="BG933" s="39"/>
      <c r="BH933" s="39"/>
      <c r="BI933" s="39"/>
      <c r="BJ933" s="39"/>
      <c r="BK933" s="39"/>
      <c r="BL933" s="39"/>
      <c r="BM933" s="39"/>
    </row>
    <row r="934" spans="1:65" x14ac:dyDescent="0.15">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c r="BC934" s="39"/>
      <c r="BD934" s="39"/>
      <c r="BE934" s="39"/>
      <c r="BF934" s="39"/>
      <c r="BG934" s="39"/>
      <c r="BH934" s="39"/>
      <c r="BI934" s="39"/>
      <c r="BJ934" s="39"/>
      <c r="BK934" s="39"/>
      <c r="BL934" s="39"/>
      <c r="BM934" s="39"/>
    </row>
    <row r="935" spans="1:65" x14ac:dyDescent="0.1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B935" s="39"/>
      <c r="BC935" s="39"/>
      <c r="BD935" s="39"/>
      <c r="BE935" s="39"/>
      <c r="BF935" s="39"/>
      <c r="BG935" s="39"/>
      <c r="BH935" s="39"/>
      <c r="BI935" s="39"/>
      <c r="BJ935" s="39"/>
      <c r="BK935" s="39"/>
      <c r="BL935" s="39"/>
      <c r="BM935" s="39"/>
    </row>
    <row r="936" spans="1:65" x14ac:dyDescent="0.15">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c r="AP936" s="39"/>
      <c r="AQ936" s="39"/>
      <c r="AR936" s="39"/>
      <c r="AS936" s="39"/>
      <c r="AT936" s="39"/>
      <c r="AU936" s="39"/>
      <c r="AV936" s="39"/>
      <c r="AW936" s="39"/>
      <c r="AX936" s="39"/>
      <c r="AY936" s="39"/>
      <c r="AZ936" s="39"/>
      <c r="BA936" s="39"/>
      <c r="BB936" s="39"/>
      <c r="BC936" s="39"/>
      <c r="BD936" s="39"/>
      <c r="BE936" s="39"/>
      <c r="BF936" s="39"/>
      <c r="BG936" s="39"/>
      <c r="BH936" s="39"/>
      <c r="BI936" s="39"/>
      <c r="BJ936" s="39"/>
      <c r="BK936" s="39"/>
      <c r="BL936" s="39"/>
      <c r="BM936" s="39"/>
    </row>
    <row r="937" spans="1:65" x14ac:dyDescent="0.15">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c r="AM937" s="39"/>
      <c r="AN937" s="39"/>
      <c r="AO937" s="39"/>
      <c r="AP937" s="39"/>
      <c r="AQ937" s="39"/>
      <c r="AR937" s="39"/>
      <c r="AS937" s="39"/>
      <c r="AT937" s="39"/>
      <c r="AU937" s="39"/>
      <c r="AV937" s="39"/>
      <c r="AW937" s="39"/>
      <c r="AX937" s="39"/>
      <c r="AY937" s="39"/>
      <c r="AZ937" s="39"/>
      <c r="BA937" s="39"/>
      <c r="BB937" s="39"/>
      <c r="BC937" s="39"/>
      <c r="BD937" s="39"/>
      <c r="BE937" s="39"/>
      <c r="BF937" s="39"/>
      <c r="BG937" s="39"/>
      <c r="BH937" s="39"/>
      <c r="BI937" s="39"/>
      <c r="BJ937" s="39"/>
      <c r="BK937" s="39"/>
      <c r="BL937" s="39"/>
      <c r="BM937" s="39"/>
    </row>
    <row r="938" spans="1:65" x14ac:dyDescent="0.15">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B938" s="39"/>
      <c r="BC938" s="39"/>
      <c r="BD938" s="39"/>
      <c r="BE938" s="39"/>
      <c r="BF938" s="39"/>
      <c r="BG938" s="39"/>
      <c r="BH938" s="39"/>
      <c r="BI938" s="39"/>
      <c r="BJ938" s="39"/>
      <c r="BK938" s="39"/>
      <c r="BL938" s="39"/>
      <c r="BM938" s="39"/>
    </row>
    <row r="939" spans="1:65" x14ac:dyDescent="0.15">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B939" s="39"/>
      <c r="BC939" s="39"/>
      <c r="BD939" s="39"/>
      <c r="BE939" s="39"/>
      <c r="BF939" s="39"/>
      <c r="BG939" s="39"/>
      <c r="BH939" s="39"/>
      <c r="BI939" s="39"/>
      <c r="BJ939" s="39"/>
      <c r="BK939" s="39"/>
      <c r="BL939" s="39"/>
      <c r="BM939" s="39"/>
    </row>
    <row r="940" spans="1:65" x14ac:dyDescent="0.15">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B940" s="39"/>
      <c r="BC940" s="39"/>
      <c r="BD940" s="39"/>
      <c r="BE940" s="39"/>
      <c r="BF940" s="39"/>
      <c r="BG940" s="39"/>
      <c r="BH940" s="39"/>
      <c r="BI940" s="39"/>
      <c r="BJ940" s="39"/>
      <c r="BK940" s="39"/>
      <c r="BL940" s="39"/>
      <c r="BM940" s="39"/>
    </row>
    <row r="941" spans="1:65" x14ac:dyDescent="0.15">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B941" s="39"/>
      <c r="BC941" s="39"/>
      <c r="BD941" s="39"/>
      <c r="BE941" s="39"/>
      <c r="BF941" s="39"/>
      <c r="BG941" s="39"/>
      <c r="BH941" s="39"/>
      <c r="BI941" s="39"/>
      <c r="BJ941" s="39"/>
      <c r="BK941" s="39"/>
      <c r="BL941" s="39"/>
      <c r="BM941" s="39"/>
    </row>
    <row r="942" spans="1:65" x14ac:dyDescent="0.15">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row>
    <row r="943" spans="1:65" x14ac:dyDescent="0.15">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B943" s="39"/>
      <c r="BC943" s="39"/>
      <c r="BD943" s="39"/>
      <c r="BE943" s="39"/>
      <c r="BF943" s="39"/>
      <c r="BG943" s="39"/>
      <c r="BH943" s="39"/>
      <c r="BI943" s="39"/>
      <c r="BJ943" s="39"/>
      <c r="BK943" s="39"/>
      <c r="BL943" s="39"/>
      <c r="BM943" s="39"/>
    </row>
    <row r="944" spans="1:65" x14ac:dyDescent="0.15">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B944" s="39"/>
      <c r="BC944" s="39"/>
      <c r="BD944" s="39"/>
      <c r="BE944" s="39"/>
      <c r="BF944" s="39"/>
      <c r="BG944" s="39"/>
      <c r="BH944" s="39"/>
      <c r="BI944" s="39"/>
      <c r="BJ944" s="39"/>
      <c r="BK944" s="39"/>
      <c r="BL944" s="39"/>
      <c r="BM944" s="39"/>
    </row>
    <row r="945" spans="1:65" x14ac:dyDescent="0.1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B945" s="39"/>
      <c r="BC945" s="39"/>
      <c r="BD945" s="39"/>
      <c r="BE945" s="39"/>
      <c r="BF945" s="39"/>
      <c r="BG945" s="39"/>
      <c r="BH945" s="39"/>
      <c r="BI945" s="39"/>
      <c r="BJ945" s="39"/>
      <c r="BK945" s="39"/>
      <c r="BL945" s="39"/>
      <c r="BM945" s="39"/>
    </row>
    <row r="946" spans="1:65" x14ac:dyDescent="0.15">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B946" s="39"/>
      <c r="BC946" s="39"/>
      <c r="BD946" s="39"/>
      <c r="BE946" s="39"/>
      <c r="BF946" s="39"/>
      <c r="BG946" s="39"/>
      <c r="BH946" s="39"/>
      <c r="BI946" s="39"/>
      <c r="BJ946" s="39"/>
      <c r="BK946" s="39"/>
      <c r="BL946" s="39"/>
      <c r="BM946" s="39"/>
    </row>
    <row r="947" spans="1:65" x14ac:dyDescent="0.15">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row>
    <row r="948" spans="1:65" x14ac:dyDescent="0.15">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B948" s="39"/>
      <c r="BC948" s="39"/>
      <c r="BD948" s="39"/>
      <c r="BE948" s="39"/>
      <c r="BF948" s="39"/>
      <c r="BG948" s="39"/>
      <c r="BH948" s="39"/>
      <c r="BI948" s="39"/>
      <c r="BJ948" s="39"/>
      <c r="BK948" s="39"/>
      <c r="BL948" s="39"/>
      <c r="BM948" s="39"/>
    </row>
    <row r="949" spans="1:65" x14ac:dyDescent="0.15">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c r="AM949" s="39"/>
      <c r="AN949" s="39"/>
      <c r="AO949" s="39"/>
      <c r="AP949" s="39"/>
      <c r="AQ949" s="39"/>
      <c r="AR949" s="39"/>
      <c r="AS949" s="39"/>
      <c r="AT949" s="39"/>
      <c r="AU949" s="39"/>
      <c r="AV949" s="39"/>
      <c r="AW949" s="39"/>
      <c r="AX949" s="39"/>
      <c r="AY949" s="39"/>
      <c r="AZ949" s="39"/>
      <c r="BA949" s="39"/>
      <c r="BB949" s="39"/>
      <c r="BC949" s="39"/>
      <c r="BD949" s="39"/>
      <c r="BE949" s="39"/>
      <c r="BF949" s="39"/>
      <c r="BG949" s="39"/>
      <c r="BH949" s="39"/>
      <c r="BI949" s="39"/>
      <c r="BJ949" s="39"/>
      <c r="BK949" s="39"/>
      <c r="BL949" s="39"/>
      <c r="BM949" s="39"/>
    </row>
    <row r="950" spans="1:65" x14ac:dyDescent="0.15">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c r="AM950" s="39"/>
      <c r="AN950" s="39"/>
      <c r="AO950" s="39"/>
      <c r="AP950" s="39"/>
      <c r="AQ950" s="39"/>
      <c r="AR950" s="39"/>
      <c r="AS950" s="39"/>
      <c r="AT950" s="39"/>
      <c r="AU950" s="39"/>
      <c r="AV950" s="39"/>
      <c r="AW950" s="39"/>
      <c r="AX950" s="39"/>
      <c r="AY950" s="39"/>
      <c r="AZ950" s="39"/>
      <c r="BA950" s="39"/>
      <c r="BB950" s="39"/>
      <c r="BC950" s="39"/>
      <c r="BD950" s="39"/>
      <c r="BE950" s="39"/>
      <c r="BF950" s="39"/>
      <c r="BG950" s="39"/>
      <c r="BH950" s="39"/>
      <c r="BI950" s="39"/>
      <c r="BJ950" s="39"/>
      <c r="BK950" s="39"/>
      <c r="BL950" s="39"/>
      <c r="BM950" s="39"/>
    </row>
    <row r="951" spans="1:65" x14ac:dyDescent="0.15">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c r="AM951" s="39"/>
      <c r="AN951" s="39"/>
      <c r="AO951" s="39"/>
      <c r="AP951" s="39"/>
      <c r="AQ951" s="39"/>
      <c r="AR951" s="39"/>
      <c r="AS951" s="39"/>
      <c r="AT951" s="39"/>
      <c r="AU951" s="39"/>
      <c r="AV951" s="39"/>
      <c r="AW951" s="39"/>
      <c r="AX951" s="39"/>
      <c r="AY951" s="39"/>
      <c r="AZ951" s="39"/>
      <c r="BA951" s="39"/>
      <c r="BB951" s="39"/>
      <c r="BC951" s="39"/>
      <c r="BD951" s="39"/>
      <c r="BE951" s="39"/>
      <c r="BF951" s="39"/>
      <c r="BG951" s="39"/>
      <c r="BH951" s="39"/>
      <c r="BI951" s="39"/>
      <c r="BJ951" s="39"/>
      <c r="BK951" s="39"/>
      <c r="BL951" s="39"/>
      <c r="BM951" s="39"/>
    </row>
    <row r="952" spans="1:65" x14ac:dyDescent="0.15">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c r="AM952" s="39"/>
      <c r="AN952" s="39"/>
      <c r="AO952" s="39"/>
      <c r="AP952" s="39"/>
      <c r="AQ952" s="39"/>
      <c r="AR952" s="39"/>
      <c r="AS952" s="39"/>
      <c r="AT952" s="39"/>
      <c r="AU952" s="39"/>
      <c r="AV952" s="39"/>
      <c r="AW952" s="39"/>
      <c r="AX952" s="39"/>
      <c r="AY952" s="39"/>
      <c r="AZ952" s="39"/>
      <c r="BA952" s="39"/>
      <c r="BB952" s="39"/>
      <c r="BC952" s="39"/>
      <c r="BD952" s="39"/>
      <c r="BE952" s="39"/>
      <c r="BF952" s="39"/>
      <c r="BG952" s="39"/>
      <c r="BH952" s="39"/>
      <c r="BI952" s="39"/>
      <c r="BJ952" s="39"/>
      <c r="BK952" s="39"/>
      <c r="BL952" s="39"/>
      <c r="BM952" s="39"/>
    </row>
    <row r="953" spans="1:65" x14ac:dyDescent="0.15">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c r="AM953" s="39"/>
      <c r="AN953" s="39"/>
      <c r="AO953" s="39"/>
      <c r="AP953" s="39"/>
      <c r="AQ953" s="39"/>
      <c r="AR953" s="39"/>
      <c r="AS953" s="39"/>
      <c r="AT953" s="39"/>
      <c r="AU953" s="39"/>
      <c r="AV953" s="39"/>
      <c r="AW953" s="39"/>
      <c r="AX953" s="39"/>
      <c r="AY953" s="39"/>
      <c r="AZ953" s="39"/>
      <c r="BA953" s="39"/>
      <c r="BB953" s="39"/>
      <c r="BC953" s="39"/>
      <c r="BD953" s="39"/>
      <c r="BE953" s="39"/>
      <c r="BF953" s="39"/>
      <c r="BG953" s="39"/>
      <c r="BH953" s="39"/>
      <c r="BI953" s="39"/>
      <c r="BJ953" s="39"/>
      <c r="BK953" s="39"/>
      <c r="BL953" s="39"/>
      <c r="BM953" s="39"/>
    </row>
    <row r="954" spans="1:65" x14ac:dyDescent="0.15">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c r="AM954" s="39"/>
      <c r="AN954" s="39"/>
      <c r="AO954" s="39"/>
      <c r="AP954" s="39"/>
      <c r="AQ954" s="39"/>
      <c r="AR954" s="39"/>
      <c r="AS954" s="39"/>
      <c r="AT954" s="39"/>
      <c r="AU954" s="39"/>
      <c r="AV954" s="39"/>
      <c r="AW954" s="39"/>
      <c r="AX954" s="39"/>
      <c r="AY954" s="39"/>
      <c r="AZ954" s="39"/>
      <c r="BA954" s="39"/>
      <c r="BB954" s="39"/>
      <c r="BC954" s="39"/>
      <c r="BD954" s="39"/>
      <c r="BE954" s="39"/>
      <c r="BF954" s="39"/>
      <c r="BG954" s="39"/>
      <c r="BH954" s="39"/>
      <c r="BI954" s="39"/>
      <c r="BJ954" s="39"/>
      <c r="BK954" s="39"/>
      <c r="BL954" s="39"/>
      <c r="BM954" s="39"/>
    </row>
    <row r="955" spans="1:65" x14ac:dyDescent="0.1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c r="AM955" s="39"/>
      <c r="AN955" s="39"/>
      <c r="AO955" s="39"/>
      <c r="AP955" s="39"/>
      <c r="AQ955" s="39"/>
      <c r="AR955" s="39"/>
      <c r="AS955" s="39"/>
      <c r="AT955" s="39"/>
      <c r="AU955" s="39"/>
      <c r="AV955" s="39"/>
      <c r="AW955" s="39"/>
      <c r="AX955" s="39"/>
      <c r="AY955" s="39"/>
      <c r="AZ955" s="39"/>
      <c r="BA955" s="39"/>
      <c r="BB955" s="39"/>
      <c r="BC955" s="39"/>
      <c r="BD955" s="39"/>
      <c r="BE955" s="39"/>
      <c r="BF955" s="39"/>
      <c r="BG955" s="39"/>
      <c r="BH955" s="39"/>
      <c r="BI955" s="39"/>
      <c r="BJ955" s="39"/>
      <c r="BK955" s="39"/>
      <c r="BL955" s="39"/>
      <c r="BM955" s="39"/>
    </row>
    <row r="956" spans="1:65" x14ac:dyDescent="0.15">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c r="AM956" s="39"/>
      <c r="AN956" s="39"/>
      <c r="AO956" s="39"/>
      <c r="AP956" s="39"/>
      <c r="AQ956" s="39"/>
      <c r="AR956" s="39"/>
      <c r="AS956" s="39"/>
      <c r="AT956" s="39"/>
      <c r="AU956" s="39"/>
      <c r="AV956" s="39"/>
      <c r="AW956" s="39"/>
      <c r="AX956" s="39"/>
      <c r="AY956" s="39"/>
      <c r="AZ956" s="39"/>
      <c r="BA956" s="39"/>
      <c r="BB956" s="39"/>
      <c r="BC956" s="39"/>
      <c r="BD956" s="39"/>
      <c r="BE956" s="39"/>
      <c r="BF956" s="39"/>
      <c r="BG956" s="39"/>
      <c r="BH956" s="39"/>
      <c r="BI956" s="39"/>
      <c r="BJ956" s="39"/>
      <c r="BK956" s="39"/>
      <c r="BL956" s="39"/>
      <c r="BM956" s="39"/>
    </row>
    <row r="957" spans="1:65" x14ac:dyDescent="0.15">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c r="AM957" s="39"/>
      <c r="AN957" s="39"/>
      <c r="AO957" s="39"/>
      <c r="AP957" s="39"/>
      <c r="AQ957" s="39"/>
      <c r="AR957" s="39"/>
      <c r="AS957" s="39"/>
      <c r="AT957" s="39"/>
      <c r="AU957" s="39"/>
      <c r="AV957" s="39"/>
      <c r="AW957" s="39"/>
      <c r="AX957" s="39"/>
      <c r="AY957" s="39"/>
      <c r="AZ957" s="39"/>
      <c r="BA957" s="39"/>
      <c r="BB957" s="39"/>
      <c r="BC957" s="39"/>
      <c r="BD957" s="39"/>
      <c r="BE957" s="39"/>
      <c r="BF957" s="39"/>
      <c r="BG957" s="39"/>
      <c r="BH957" s="39"/>
      <c r="BI957" s="39"/>
      <c r="BJ957" s="39"/>
      <c r="BK957" s="39"/>
      <c r="BL957" s="39"/>
      <c r="BM957" s="39"/>
    </row>
    <row r="958" spans="1:65" x14ac:dyDescent="0.15">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c r="AM958" s="39"/>
      <c r="AN958" s="39"/>
      <c r="AO958" s="39"/>
      <c r="AP958" s="39"/>
      <c r="AQ958" s="39"/>
      <c r="AR958" s="39"/>
      <c r="AS958" s="39"/>
      <c r="AT958" s="39"/>
      <c r="AU958" s="39"/>
      <c r="AV958" s="39"/>
      <c r="AW958" s="39"/>
      <c r="AX958" s="39"/>
      <c r="AY958" s="39"/>
      <c r="AZ958" s="39"/>
      <c r="BA958" s="39"/>
      <c r="BB958" s="39"/>
      <c r="BC958" s="39"/>
      <c r="BD958" s="39"/>
      <c r="BE958" s="39"/>
      <c r="BF958" s="39"/>
      <c r="BG958" s="39"/>
      <c r="BH958" s="39"/>
      <c r="BI958" s="39"/>
      <c r="BJ958" s="39"/>
      <c r="BK958" s="39"/>
      <c r="BL958" s="39"/>
      <c r="BM958" s="39"/>
    </row>
    <row r="959" spans="1:65" x14ac:dyDescent="0.15">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c r="AN959" s="39"/>
      <c r="AO959" s="39"/>
      <c r="AP959" s="39"/>
      <c r="AQ959" s="39"/>
      <c r="AR959" s="39"/>
      <c r="AS959" s="39"/>
      <c r="AT959" s="39"/>
      <c r="AU959" s="39"/>
      <c r="AV959" s="39"/>
      <c r="AW959" s="39"/>
      <c r="AX959" s="39"/>
      <c r="AY959" s="39"/>
      <c r="AZ959" s="39"/>
      <c r="BA959" s="39"/>
      <c r="BB959" s="39"/>
      <c r="BC959" s="39"/>
      <c r="BD959" s="39"/>
      <c r="BE959" s="39"/>
      <c r="BF959" s="39"/>
      <c r="BG959" s="39"/>
      <c r="BH959" s="39"/>
      <c r="BI959" s="39"/>
      <c r="BJ959" s="39"/>
      <c r="BK959" s="39"/>
      <c r="BL959" s="39"/>
      <c r="BM959" s="39"/>
    </row>
    <row r="960" spans="1:65" x14ac:dyDescent="0.15">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c r="AM960" s="39"/>
      <c r="AN960" s="39"/>
      <c r="AO960" s="39"/>
      <c r="AP960" s="39"/>
      <c r="AQ960" s="39"/>
      <c r="AR960" s="39"/>
      <c r="AS960" s="39"/>
      <c r="AT960" s="39"/>
      <c r="AU960" s="39"/>
      <c r="AV960" s="39"/>
      <c r="AW960" s="39"/>
      <c r="AX960" s="39"/>
      <c r="AY960" s="39"/>
      <c r="AZ960" s="39"/>
      <c r="BA960" s="39"/>
      <c r="BB960" s="39"/>
      <c r="BC960" s="39"/>
      <c r="BD960" s="39"/>
      <c r="BE960" s="39"/>
      <c r="BF960" s="39"/>
      <c r="BG960" s="39"/>
      <c r="BH960" s="39"/>
      <c r="BI960" s="39"/>
      <c r="BJ960" s="39"/>
      <c r="BK960" s="39"/>
      <c r="BL960" s="39"/>
      <c r="BM960" s="39"/>
    </row>
    <row r="961" spans="1:65" x14ac:dyDescent="0.15">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c r="AM961" s="39"/>
      <c r="AN961" s="39"/>
      <c r="AO961" s="39"/>
      <c r="AP961" s="39"/>
      <c r="AQ961" s="39"/>
      <c r="AR961" s="39"/>
      <c r="AS961" s="39"/>
      <c r="AT961" s="39"/>
      <c r="AU961" s="39"/>
      <c r="AV961" s="39"/>
      <c r="AW961" s="39"/>
      <c r="AX961" s="39"/>
      <c r="AY961" s="39"/>
      <c r="AZ961" s="39"/>
      <c r="BA961" s="39"/>
      <c r="BB961" s="39"/>
      <c r="BC961" s="39"/>
      <c r="BD961" s="39"/>
      <c r="BE961" s="39"/>
      <c r="BF961" s="39"/>
      <c r="BG961" s="39"/>
      <c r="BH961" s="39"/>
      <c r="BI961" s="39"/>
      <c r="BJ961" s="39"/>
      <c r="BK961" s="39"/>
      <c r="BL961" s="39"/>
      <c r="BM961" s="39"/>
    </row>
    <row r="962" spans="1:65" x14ac:dyDescent="0.15">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c r="AM962" s="39"/>
      <c r="AN962" s="39"/>
      <c r="AO962" s="39"/>
      <c r="AP962" s="39"/>
      <c r="AQ962" s="39"/>
      <c r="AR962" s="39"/>
      <c r="AS962" s="39"/>
      <c r="AT962" s="39"/>
      <c r="AU962" s="39"/>
      <c r="AV962" s="39"/>
      <c r="AW962" s="39"/>
      <c r="AX962" s="39"/>
      <c r="AY962" s="39"/>
      <c r="AZ962" s="39"/>
      <c r="BA962" s="39"/>
      <c r="BB962" s="39"/>
      <c r="BC962" s="39"/>
      <c r="BD962" s="39"/>
      <c r="BE962" s="39"/>
      <c r="BF962" s="39"/>
      <c r="BG962" s="39"/>
      <c r="BH962" s="39"/>
      <c r="BI962" s="39"/>
      <c r="BJ962" s="39"/>
      <c r="BK962" s="39"/>
      <c r="BL962" s="39"/>
      <c r="BM962" s="39"/>
    </row>
    <row r="963" spans="1:65" x14ac:dyDescent="0.15">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c r="AM963" s="39"/>
      <c r="AN963" s="39"/>
      <c r="AO963" s="39"/>
      <c r="AP963" s="39"/>
      <c r="AQ963" s="39"/>
      <c r="AR963" s="39"/>
      <c r="AS963" s="39"/>
      <c r="AT963" s="39"/>
      <c r="AU963" s="39"/>
      <c r="AV963" s="39"/>
      <c r="AW963" s="39"/>
      <c r="AX963" s="39"/>
      <c r="AY963" s="39"/>
      <c r="AZ963" s="39"/>
      <c r="BA963" s="39"/>
      <c r="BB963" s="39"/>
      <c r="BC963" s="39"/>
      <c r="BD963" s="39"/>
      <c r="BE963" s="39"/>
      <c r="BF963" s="39"/>
      <c r="BG963" s="39"/>
      <c r="BH963" s="39"/>
      <c r="BI963" s="39"/>
      <c r="BJ963" s="39"/>
      <c r="BK963" s="39"/>
      <c r="BL963" s="39"/>
      <c r="BM963" s="39"/>
    </row>
    <row r="964" spans="1:65" x14ac:dyDescent="0.15">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c r="AK964" s="39"/>
      <c r="AL964" s="39"/>
      <c r="AM964" s="39"/>
      <c r="AN964" s="39"/>
      <c r="AO964" s="39"/>
      <c r="AP964" s="39"/>
      <c r="AQ964" s="39"/>
      <c r="AR964" s="39"/>
      <c r="AS964" s="39"/>
      <c r="AT964" s="39"/>
      <c r="AU964" s="39"/>
      <c r="AV964" s="39"/>
      <c r="AW964" s="39"/>
      <c r="AX964" s="39"/>
      <c r="AY964" s="39"/>
      <c r="AZ964" s="39"/>
      <c r="BA964" s="39"/>
      <c r="BB964" s="39"/>
      <c r="BC964" s="39"/>
      <c r="BD964" s="39"/>
      <c r="BE964" s="39"/>
      <c r="BF964" s="39"/>
      <c r="BG964" s="39"/>
      <c r="BH964" s="39"/>
      <c r="BI964" s="39"/>
      <c r="BJ964" s="39"/>
      <c r="BK964" s="39"/>
      <c r="BL964" s="39"/>
      <c r="BM964" s="39"/>
    </row>
    <row r="965" spans="1:65" x14ac:dyDescent="0.1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c r="AK965" s="39"/>
      <c r="AL965" s="39"/>
      <c r="AM965" s="39"/>
      <c r="AN965" s="39"/>
      <c r="AO965" s="39"/>
      <c r="AP965" s="39"/>
      <c r="AQ965" s="39"/>
      <c r="AR965" s="39"/>
      <c r="AS965" s="39"/>
      <c r="AT965" s="39"/>
      <c r="AU965" s="39"/>
      <c r="AV965" s="39"/>
      <c r="AW965" s="39"/>
      <c r="AX965" s="39"/>
      <c r="AY965" s="39"/>
      <c r="AZ965" s="39"/>
      <c r="BA965" s="39"/>
      <c r="BB965" s="39"/>
      <c r="BC965" s="39"/>
      <c r="BD965" s="39"/>
      <c r="BE965" s="39"/>
      <c r="BF965" s="39"/>
      <c r="BG965" s="39"/>
      <c r="BH965" s="39"/>
      <c r="BI965" s="39"/>
      <c r="BJ965" s="39"/>
      <c r="BK965" s="39"/>
      <c r="BL965" s="39"/>
      <c r="BM965" s="39"/>
    </row>
    <row r="966" spans="1:65" x14ac:dyDescent="0.15">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c r="AM966" s="39"/>
      <c r="AN966" s="39"/>
      <c r="AO966" s="39"/>
      <c r="AP966" s="39"/>
      <c r="AQ966" s="39"/>
      <c r="AR966" s="39"/>
      <c r="AS966" s="39"/>
      <c r="AT966" s="39"/>
      <c r="AU966" s="39"/>
      <c r="AV966" s="39"/>
      <c r="AW966" s="39"/>
      <c r="AX966" s="39"/>
      <c r="AY966" s="39"/>
      <c r="AZ966" s="39"/>
      <c r="BA966" s="39"/>
      <c r="BB966" s="39"/>
      <c r="BC966" s="39"/>
      <c r="BD966" s="39"/>
      <c r="BE966" s="39"/>
      <c r="BF966" s="39"/>
      <c r="BG966" s="39"/>
      <c r="BH966" s="39"/>
      <c r="BI966" s="39"/>
      <c r="BJ966" s="39"/>
      <c r="BK966" s="39"/>
      <c r="BL966" s="39"/>
      <c r="BM966" s="39"/>
    </row>
    <row r="967" spans="1:65" x14ac:dyDescent="0.15">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c r="AM967" s="39"/>
      <c r="AN967" s="39"/>
      <c r="AO967" s="39"/>
      <c r="AP967" s="39"/>
      <c r="AQ967" s="39"/>
      <c r="AR967" s="39"/>
      <c r="AS967" s="39"/>
      <c r="AT967" s="39"/>
      <c r="AU967" s="39"/>
      <c r="AV967" s="39"/>
      <c r="AW967" s="39"/>
      <c r="AX967" s="39"/>
      <c r="AY967" s="39"/>
      <c r="AZ967" s="39"/>
      <c r="BA967" s="39"/>
      <c r="BB967" s="39"/>
      <c r="BC967" s="39"/>
      <c r="BD967" s="39"/>
      <c r="BE967" s="39"/>
      <c r="BF967" s="39"/>
      <c r="BG967" s="39"/>
      <c r="BH967" s="39"/>
      <c r="BI967" s="39"/>
      <c r="BJ967" s="39"/>
      <c r="BK967" s="39"/>
      <c r="BL967" s="39"/>
      <c r="BM967" s="39"/>
    </row>
    <row r="968" spans="1:65" x14ac:dyDescent="0.15">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c r="AK968" s="39"/>
      <c r="AL968" s="39"/>
      <c r="AM968" s="39"/>
      <c r="AN968" s="39"/>
      <c r="AO968" s="39"/>
      <c r="AP968" s="39"/>
      <c r="AQ968" s="39"/>
      <c r="AR968" s="39"/>
      <c r="AS968" s="39"/>
      <c r="AT968" s="39"/>
      <c r="AU968" s="39"/>
      <c r="AV968" s="39"/>
      <c r="AW968" s="39"/>
      <c r="AX968" s="39"/>
      <c r="AY968" s="39"/>
      <c r="AZ968" s="39"/>
      <c r="BA968" s="39"/>
      <c r="BB968" s="39"/>
      <c r="BC968" s="39"/>
      <c r="BD968" s="39"/>
      <c r="BE968" s="39"/>
      <c r="BF968" s="39"/>
      <c r="BG968" s="39"/>
      <c r="BH968" s="39"/>
      <c r="BI968" s="39"/>
      <c r="BJ968" s="39"/>
      <c r="BK968" s="39"/>
      <c r="BL968" s="39"/>
      <c r="BM968" s="39"/>
    </row>
    <row r="969" spans="1:65" x14ac:dyDescent="0.15">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c r="AM969" s="39"/>
      <c r="AN969" s="39"/>
      <c r="AO969" s="39"/>
      <c r="AP969" s="39"/>
      <c r="AQ969" s="39"/>
      <c r="AR969" s="39"/>
      <c r="AS969" s="39"/>
      <c r="AT969" s="39"/>
      <c r="AU969" s="39"/>
      <c r="AV969" s="39"/>
      <c r="AW969" s="39"/>
      <c r="AX969" s="39"/>
      <c r="AY969" s="39"/>
      <c r="AZ969" s="39"/>
      <c r="BA969" s="39"/>
      <c r="BB969" s="39"/>
      <c r="BC969" s="39"/>
      <c r="BD969" s="39"/>
      <c r="BE969" s="39"/>
      <c r="BF969" s="39"/>
      <c r="BG969" s="39"/>
      <c r="BH969" s="39"/>
      <c r="BI969" s="39"/>
      <c r="BJ969" s="39"/>
      <c r="BK969" s="39"/>
      <c r="BL969" s="39"/>
      <c r="BM969" s="39"/>
    </row>
    <row r="970" spans="1:65" x14ac:dyDescent="0.15">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c r="AK970" s="39"/>
      <c r="AL970" s="39"/>
      <c r="AM970" s="39"/>
      <c r="AN970" s="39"/>
      <c r="AO970" s="39"/>
      <c r="AP970" s="39"/>
      <c r="AQ970" s="39"/>
      <c r="AR970" s="39"/>
      <c r="AS970" s="39"/>
      <c r="AT970" s="39"/>
      <c r="AU970" s="39"/>
      <c r="AV970" s="39"/>
      <c r="AW970" s="39"/>
      <c r="AX970" s="39"/>
      <c r="AY970" s="39"/>
      <c r="AZ970" s="39"/>
      <c r="BA970" s="39"/>
      <c r="BB970" s="39"/>
      <c r="BC970" s="39"/>
      <c r="BD970" s="39"/>
      <c r="BE970" s="39"/>
      <c r="BF970" s="39"/>
      <c r="BG970" s="39"/>
      <c r="BH970" s="39"/>
      <c r="BI970" s="39"/>
      <c r="BJ970" s="39"/>
      <c r="BK970" s="39"/>
      <c r="BL970" s="39"/>
      <c r="BM970" s="39"/>
    </row>
    <row r="971" spans="1:65" x14ac:dyDescent="0.15">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c r="AM971" s="39"/>
      <c r="AN971" s="39"/>
      <c r="AO971" s="39"/>
      <c r="AP971" s="39"/>
      <c r="AQ971" s="39"/>
      <c r="AR971" s="39"/>
      <c r="AS971" s="39"/>
      <c r="AT971" s="39"/>
      <c r="AU971" s="39"/>
      <c r="AV971" s="39"/>
      <c r="AW971" s="39"/>
      <c r="AX971" s="39"/>
      <c r="AY971" s="39"/>
      <c r="AZ971" s="39"/>
      <c r="BA971" s="39"/>
      <c r="BB971" s="39"/>
      <c r="BC971" s="39"/>
      <c r="BD971" s="39"/>
      <c r="BE971" s="39"/>
      <c r="BF971" s="39"/>
      <c r="BG971" s="39"/>
      <c r="BH971" s="39"/>
      <c r="BI971" s="39"/>
      <c r="BJ971" s="39"/>
      <c r="BK971" s="39"/>
      <c r="BL971" s="39"/>
      <c r="BM971" s="39"/>
    </row>
    <row r="972" spans="1:65" x14ac:dyDescent="0.15">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c r="AK972" s="39"/>
      <c r="AL972" s="39"/>
      <c r="AM972" s="39"/>
      <c r="AN972" s="39"/>
      <c r="AO972" s="39"/>
      <c r="AP972" s="39"/>
      <c r="AQ972" s="39"/>
      <c r="AR972" s="39"/>
      <c r="AS972" s="39"/>
      <c r="AT972" s="39"/>
      <c r="AU972" s="39"/>
      <c r="AV972" s="39"/>
      <c r="AW972" s="39"/>
      <c r="AX972" s="39"/>
      <c r="AY972" s="39"/>
      <c r="AZ972" s="39"/>
      <c r="BA972" s="39"/>
      <c r="BB972" s="39"/>
      <c r="BC972" s="39"/>
      <c r="BD972" s="39"/>
      <c r="BE972" s="39"/>
      <c r="BF972" s="39"/>
      <c r="BG972" s="39"/>
      <c r="BH972" s="39"/>
      <c r="BI972" s="39"/>
      <c r="BJ972" s="39"/>
      <c r="BK972" s="39"/>
      <c r="BL972" s="39"/>
      <c r="BM972" s="39"/>
    </row>
    <row r="973" spans="1:65" x14ac:dyDescent="0.15">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c r="AK973" s="39"/>
      <c r="AL973" s="39"/>
      <c r="AM973" s="39"/>
      <c r="AN973" s="39"/>
      <c r="AO973" s="39"/>
      <c r="AP973" s="39"/>
      <c r="AQ973" s="39"/>
      <c r="AR973" s="39"/>
      <c r="AS973" s="39"/>
      <c r="AT973" s="39"/>
      <c r="AU973" s="39"/>
      <c r="AV973" s="39"/>
      <c r="AW973" s="39"/>
      <c r="AX973" s="39"/>
      <c r="AY973" s="39"/>
      <c r="AZ973" s="39"/>
      <c r="BA973" s="39"/>
      <c r="BB973" s="39"/>
      <c r="BC973" s="39"/>
      <c r="BD973" s="39"/>
      <c r="BE973" s="39"/>
      <c r="BF973" s="39"/>
      <c r="BG973" s="39"/>
      <c r="BH973" s="39"/>
      <c r="BI973" s="39"/>
      <c r="BJ973" s="39"/>
      <c r="BK973" s="39"/>
      <c r="BL973" s="39"/>
      <c r="BM973" s="39"/>
    </row>
    <row r="974" spans="1:65" x14ac:dyDescent="0.15">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c r="AM974" s="39"/>
      <c r="AN974" s="39"/>
      <c r="AO974" s="39"/>
      <c r="AP974" s="39"/>
      <c r="AQ974" s="39"/>
      <c r="AR974" s="39"/>
      <c r="AS974" s="39"/>
      <c r="AT974" s="39"/>
      <c r="AU974" s="39"/>
      <c r="AV974" s="39"/>
      <c r="AW974" s="39"/>
      <c r="AX974" s="39"/>
      <c r="AY974" s="39"/>
      <c r="AZ974" s="39"/>
      <c r="BA974" s="39"/>
      <c r="BB974" s="39"/>
      <c r="BC974" s="39"/>
      <c r="BD974" s="39"/>
      <c r="BE974" s="39"/>
      <c r="BF974" s="39"/>
      <c r="BG974" s="39"/>
      <c r="BH974" s="39"/>
      <c r="BI974" s="39"/>
      <c r="BJ974" s="39"/>
      <c r="BK974" s="39"/>
      <c r="BL974" s="39"/>
      <c r="BM974" s="39"/>
    </row>
    <row r="975" spans="1:65" x14ac:dyDescent="0.1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c r="AM975" s="39"/>
      <c r="AN975" s="39"/>
      <c r="AO975" s="39"/>
      <c r="AP975" s="39"/>
      <c r="AQ975" s="39"/>
      <c r="AR975" s="39"/>
      <c r="AS975" s="39"/>
      <c r="AT975" s="39"/>
      <c r="AU975" s="39"/>
      <c r="AV975" s="39"/>
      <c r="AW975" s="39"/>
      <c r="AX975" s="39"/>
      <c r="AY975" s="39"/>
      <c r="AZ975" s="39"/>
      <c r="BA975" s="39"/>
      <c r="BB975" s="39"/>
      <c r="BC975" s="39"/>
      <c r="BD975" s="39"/>
      <c r="BE975" s="39"/>
      <c r="BF975" s="39"/>
      <c r="BG975" s="39"/>
      <c r="BH975" s="39"/>
      <c r="BI975" s="39"/>
      <c r="BJ975" s="39"/>
      <c r="BK975" s="39"/>
      <c r="BL975" s="39"/>
      <c r="BM975" s="39"/>
    </row>
    <row r="976" spans="1:65" x14ac:dyDescent="0.15">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c r="AM976" s="39"/>
      <c r="AN976" s="39"/>
      <c r="AO976" s="39"/>
      <c r="AP976" s="39"/>
      <c r="AQ976" s="39"/>
      <c r="AR976" s="39"/>
      <c r="AS976" s="39"/>
      <c r="AT976" s="39"/>
      <c r="AU976" s="39"/>
      <c r="AV976" s="39"/>
      <c r="AW976" s="39"/>
      <c r="AX976" s="39"/>
      <c r="AY976" s="39"/>
      <c r="AZ976" s="39"/>
      <c r="BA976" s="39"/>
      <c r="BB976" s="39"/>
      <c r="BC976" s="39"/>
      <c r="BD976" s="39"/>
      <c r="BE976" s="39"/>
      <c r="BF976" s="39"/>
      <c r="BG976" s="39"/>
      <c r="BH976" s="39"/>
      <c r="BI976" s="39"/>
      <c r="BJ976" s="39"/>
      <c r="BK976" s="39"/>
      <c r="BL976" s="39"/>
      <c r="BM976" s="39"/>
    </row>
    <row r="977" spans="1:65" x14ac:dyDescent="0.15">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c r="AK977" s="39"/>
      <c r="AL977" s="39"/>
      <c r="AM977" s="39"/>
      <c r="AN977" s="39"/>
      <c r="AO977" s="39"/>
      <c r="AP977" s="39"/>
      <c r="AQ977" s="39"/>
      <c r="AR977" s="39"/>
      <c r="AS977" s="39"/>
      <c r="AT977" s="39"/>
      <c r="AU977" s="39"/>
      <c r="AV977" s="39"/>
      <c r="AW977" s="39"/>
      <c r="AX977" s="39"/>
      <c r="AY977" s="39"/>
      <c r="AZ977" s="39"/>
      <c r="BA977" s="39"/>
      <c r="BB977" s="39"/>
      <c r="BC977" s="39"/>
      <c r="BD977" s="39"/>
      <c r="BE977" s="39"/>
      <c r="BF977" s="39"/>
      <c r="BG977" s="39"/>
      <c r="BH977" s="39"/>
      <c r="BI977" s="39"/>
      <c r="BJ977" s="39"/>
      <c r="BK977" s="39"/>
      <c r="BL977" s="39"/>
      <c r="BM977" s="39"/>
    </row>
    <row r="978" spans="1:65" x14ac:dyDescent="0.15">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c r="AK978" s="39"/>
      <c r="AL978" s="39"/>
      <c r="AM978" s="39"/>
      <c r="AN978" s="39"/>
      <c r="AO978" s="39"/>
      <c r="AP978" s="39"/>
      <c r="AQ978" s="39"/>
      <c r="AR978" s="39"/>
      <c r="AS978" s="39"/>
      <c r="AT978" s="39"/>
      <c r="AU978" s="39"/>
      <c r="AV978" s="39"/>
      <c r="AW978" s="39"/>
      <c r="AX978" s="39"/>
      <c r="AY978" s="39"/>
      <c r="AZ978" s="39"/>
      <c r="BA978" s="39"/>
      <c r="BB978" s="39"/>
      <c r="BC978" s="39"/>
      <c r="BD978" s="39"/>
      <c r="BE978" s="39"/>
      <c r="BF978" s="39"/>
      <c r="BG978" s="39"/>
      <c r="BH978" s="39"/>
      <c r="BI978" s="39"/>
      <c r="BJ978" s="39"/>
      <c r="BK978" s="39"/>
      <c r="BL978" s="39"/>
      <c r="BM978" s="39"/>
    </row>
    <row r="979" spans="1:65" x14ac:dyDescent="0.15">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c r="AK979" s="39"/>
      <c r="AL979" s="39"/>
      <c r="AM979" s="39"/>
      <c r="AN979" s="39"/>
      <c r="AO979" s="39"/>
      <c r="AP979" s="39"/>
      <c r="AQ979" s="39"/>
      <c r="AR979" s="39"/>
      <c r="AS979" s="39"/>
      <c r="AT979" s="39"/>
      <c r="AU979" s="39"/>
      <c r="AV979" s="39"/>
      <c r="AW979" s="39"/>
      <c r="AX979" s="39"/>
      <c r="AY979" s="39"/>
      <c r="AZ979" s="39"/>
      <c r="BA979" s="39"/>
      <c r="BB979" s="39"/>
      <c r="BC979" s="39"/>
      <c r="BD979" s="39"/>
      <c r="BE979" s="39"/>
      <c r="BF979" s="39"/>
      <c r="BG979" s="39"/>
      <c r="BH979" s="39"/>
      <c r="BI979" s="39"/>
      <c r="BJ979" s="39"/>
      <c r="BK979" s="39"/>
      <c r="BL979" s="39"/>
      <c r="BM979" s="39"/>
    </row>
    <row r="980" spans="1:65" x14ac:dyDescent="0.15">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c r="AK980" s="39"/>
      <c r="AL980" s="39"/>
      <c r="AM980" s="39"/>
      <c r="AN980" s="39"/>
      <c r="AO980" s="39"/>
      <c r="AP980" s="39"/>
      <c r="AQ980" s="39"/>
      <c r="AR980" s="39"/>
      <c r="AS980" s="39"/>
      <c r="AT980" s="39"/>
      <c r="AU980" s="39"/>
      <c r="AV980" s="39"/>
      <c r="AW980" s="39"/>
      <c r="AX980" s="39"/>
      <c r="AY980" s="39"/>
      <c r="AZ980" s="39"/>
      <c r="BA980" s="39"/>
      <c r="BB980" s="39"/>
      <c r="BC980" s="39"/>
      <c r="BD980" s="39"/>
      <c r="BE980" s="39"/>
      <c r="BF980" s="39"/>
      <c r="BG980" s="39"/>
      <c r="BH980" s="39"/>
      <c r="BI980" s="39"/>
      <c r="BJ980" s="39"/>
      <c r="BK980" s="39"/>
      <c r="BL980" s="39"/>
      <c r="BM980" s="39"/>
    </row>
    <row r="981" spans="1:65" x14ac:dyDescent="0.15">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c r="AP981" s="39"/>
      <c r="AQ981" s="39"/>
      <c r="AR981" s="39"/>
      <c r="AS981" s="39"/>
      <c r="AT981" s="39"/>
      <c r="AU981" s="39"/>
      <c r="AV981" s="39"/>
      <c r="AW981" s="39"/>
      <c r="AX981" s="39"/>
      <c r="AY981" s="39"/>
      <c r="AZ981" s="39"/>
      <c r="BA981" s="39"/>
      <c r="BB981" s="39"/>
      <c r="BC981" s="39"/>
      <c r="BD981" s="39"/>
      <c r="BE981" s="39"/>
      <c r="BF981" s="39"/>
      <c r="BG981" s="39"/>
      <c r="BH981" s="39"/>
      <c r="BI981" s="39"/>
      <c r="BJ981" s="39"/>
      <c r="BK981" s="39"/>
      <c r="BL981" s="39"/>
      <c r="BM981" s="39"/>
    </row>
    <row r="982" spans="1:65" x14ac:dyDescent="0.15">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c r="AK982" s="39"/>
      <c r="AL982" s="39"/>
      <c r="AM982" s="39"/>
      <c r="AN982" s="39"/>
      <c r="AO982" s="39"/>
      <c r="AP982" s="39"/>
      <c r="AQ982" s="39"/>
      <c r="AR982" s="39"/>
      <c r="AS982" s="39"/>
      <c r="AT982" s="39"/>
      <c r="AU982" s="39"/>
      <c r="AV982" s="39"/>
      <c r="AW982" s="39"/>
      <c r="AX982" s="39"/>
      <c r="AY982" s="39"/>
      <c r="AZ982" s="39"/>
      <c r="BA982" s="39"/>
      <c r="BB982" s="39"/>
      <c r="BC982" s="39"/>
      <c r="BD982" s="39"/>
      <c r="BE982" s="39"/>
      <c r="BF982" s="39"/>
      <c r="BG982" s="39"/>
      <c r="BH982" s="39"/>
      <c r="BI982" s="39"/>
      <c r="BJ982" s="39"/>
      <c r="BK982" s="39"/>
      <c r="BL982" s="39"/>
      <c r="BM982" s="39"/>
    </row>
    <row r="983" spans="1:65" x14ac:dyDescent="0.15">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c r="AK983" s="39"/>
      <c r="AL983" s="39"/>
      <c r="AM983" s="39"/>
      <c r="AN983" s="39"/>
      <c r="AO983" s="39"/>
      <c r="AP983" s="39"/>
      <c r="AQ983" s="39"/>
      <c r="AR983" s="39"/>
      <c r="AS983" s="39"/>
      <c r="AT983" s="39"/>
      <c r="AU983" s="39"/>
      <c r="AV983" s="39"/>
      <c r="AW983" s="39"/>
      <c r="AX983" s="39"/>
      <c r="AY983" s="39"/>
      <c r="AZ983" s="39"/>
      <c r="BA983" s="39"/>
      <c r="BB983" s="39"/>
      <c r="BC983" s="39"/>
      <c r="BD983" s="39"/>
      <c r="BE983" s="39"/>
      <c r="BF983" s="39"/>
      <c r="BG983" s="39"/>
      <c r="BH983" s="39"/>
      <c r="BI983" s="39"/>
      <c r="BJ983" s="39"/>
      <c r="BK983" s="39"/>
      <c r="BL983" s="39"/>
      <c r="BM983" s="39"/>
    </row>
    <row r="984" spans="1:65" x14ac:dyDescent="0.15">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c r="AK984" s="39"/>
      <c r="AL984" s="39"/>
      <c r="AM984" s="39"/>
      <c r="AN984" s="39"/>
      <c r="AO984" s="39"/>
      <c r="AP984" s="39"/>
      <c r="AQ984" s="39"/>
      <c r="AR984" s="39"/>
      <c r="AS984" s="39"/>
      <c r="AT984" s="39"/>
      <c r="AU984" s="39"/>
      <c r="AV984" s="39"/>
      <c r="AW984" s="39"/>
      <c r="AX984" s="39"/>
      <c r="AY984" s="39"/>
      <c r="AZ984" s="39"/>
      <c r="BA984" s="39"/>
      <c r="BB984" s="39"/>
      <c r="BC984" s="39"/>
      <c r="BD984" s="39"/>
      <c r="BE984" s="39"/>
      <c r="BF984" s="39"/>
      <c r="BG984" s="39"/>
      <c r="BH984" s="39"/>
      <c r="BI984" s="39"/>
      <c r="BJ984" s="39"/>
      <c r="BK984" s="39"/>
      <c r="BL984" s="39"/>
      <c r="BM984" s="39"/>
    </row>
    <row r="985" spans="1:65" x14ac:dyDescent="0.1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c r="AK985" s="39"/>
      <c r="AL985" s="39"/>
      <c r="AM985" s="39"/>
      <c r="AN985" s="39"/>
      <c r="AO985" s="39"/>
      <c r="AP985" s="39"/>
      <c r="AQ985" s="39"/>
      <c r="AR985" s="39"/>
      <c r="AS985" s="39"/>
      <c r="AT985" s="39"/>
      <c r="AU985" s="39"/>
      <c r="AV985" s="39"/>
      <c r="AW985" s="39"/>
      <c r="AX985" s="39"/>
      <c r="AY985" s="39"/>
      <c r="AZ985" s="39"/>
      <c r="BA985" s="39"/>
      <c r="BB985" s="39"/>
      <c r="BC985" s="39"/>
      <c r="BD985" s="39"/>
      <c r="BE985" s="39"/>
      <c r="BF985" s="39"/>
      <c r="BG985" s="39"/>
      <c r="BH985" s="39"/>
      <c r="BI985" s="39"/>
      <c r="BJ985" s="39"/>
      <c r="BK985" s="39"/>
      <c r="BL985" s="39"/>
      <c r="BM985" s="39"/>
    </row>
    <row r="986" spans="1:65" x14ac:dyDescent="0.15">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c r="AK986" s="39"/>
      <c r="AL986" s="39"/>
      <c r="AM986" s="39"/>
      <c r="AN986" s="39"/>
      <c r="AO986" s="39"/>
      <c r="AP986" s="39"/>
      <c r="AQ986" s="39"/>
      <c r="AR986" s="39"/>
      <c r="AS986" s="39"/>
      <c r="AT986" s="39"/>
      <c r="AU986" s="39"/>
      <c r="AV986" s="39"/>
      <c r="AW986" s="39"/>
      <c r="AX986" s="39"/>
      <c r="AY986" s="39"/>
      <c r="AZ986" s="39"/>
      <c r="BA986" s="39"/>
      <c r="BB986" s="39"/>
      <c r="BC986" s="39"/>
      <c r="BD986" s="39"/>
      <c r="BE986" s="39"/>
      <c r="BF986" s="39"/>
      <c r="BG986" s="39"/>
      <c r="BH986" s="39"/>
      <c r="BI986" s="39"/>
      <c r="BJ986" s="39"/>
      <c r="BK986" s="39"/>
      <c r="BL986" s="39"/>
      <c r="BM986" s="39"/>
    </row>
    <row r="987" spans="1:65" x14ac:dyDescent="0.15">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c r="AM987" s="39"/>
      <c r="AN987" s="39"/>
      <c r="AO987" s="39"/>
      <c r="AP987" s="39"/>
      <c r="AQ987" s="39"/>
      <c r="AR987" s="39"/>
      <c r="AS987" s="39"/>
      <c r="AT987" s="39"/>
      <c r="AU987" s="39"/>
      <c r="AV987" s="39"/>
      <c r="AW987" s="39"/>
      <c r="AX987" s="39"/>
      <c r="AY987" s="39"/>
      <c r="AZ987" s="39"/>
      <c r="BA987" s="39"/>
      <c r="BB987" s="39"/>
      <c r="BC987" s="39"/>
      <c r="BD987" s="39"/>
      <c r="BE987" s="39"/>
      <c r="BF987" s="39"/>
      <c r="BG987" s="39"/>
      <c r="BH987" s="39"/>
      <c r="BI987" s="39"/>
      <c r="BJ987" s="39"/>
      <c r="BK987" s="39"/>
      <c r="BL987" s="39"/>
      <c r="BM987" s="39"/>
    </row>
    <row r="988" spans="1:65" x14ac:dyDescent="0.15">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c r="AK988" s="39"/>
      <c r="AL988" s="39"/>
      <c r="AM988" s="39"/>
      <c r="AN988" s="39"/>
      <c r="AO988" s="39"/>
      <c r="AP988" s="39"/>
      <c r="AQ988" s="39"/>
      <c r="AR988" s="39"/>
      <c r="AS988" s="39"/>
      <c r="AT988" s="39"/>
      <c r="AU988" s="39"/>
      <c r="AV988" s="39"/>
      <c r="AW988" s="39"/>
      <c r="AX988" s="39"/>
      <c r="AY988" s="39"/>
      <c r="AZ988" s="39"/>
      <c r="BA988" s="39"/>
      <c r="BB988" s="39"/>
      <c r="BC988" s="39"/>
      <c r="BD988" s="39"/>
      <c r="BE988" s="39"/>
      <c r="BF988" s="39"/>
      <c r="BG988" s="39"/>
      <c r="BH988" s="39"/>
      <c r="BI988" s="39"/>
      <c r="BJ988" s="39"/>
      <c r="BK988" s="39"/>
      <c r="BL988" s="39"/>
      <c r="BM988" s="39"/>
    </row>
  </sheetData>
  <mergeCells count="56">
    <mergeCell ref="AB14:AB15"/>
    <mergeCell ref="AC14:AC15"/>
    <mergeCell ref="AD14:AD15"/>
    <mergeCell ref="AE14:AE15"/>
    <mergeCell ref="V14:V15"/>
    <mergeCell ref="W14:W15"/>
    <mergeCell ref="X14:X15"/>
    <mergeCell ref="Y14:Y15"/>
    <mergeCell ref="Z14:Z15"/>
    <mergeCell ref="A1:D6"/>
    <mergeCell ref="T1:AM10"/>
    <mergeCell ref="T11:AJ11"/>
    <mergeCell ref="AK11:BA11"/>
    <mergeCell ref="S14:S15"/>
    <mergeCell ref="T14:T15"/>
    <mergeCell ref="U14:U15"/>
    <mergeCell ref="AW14:AW15"/>
    <mergeCell ref="AJ14:AJ15"/>
    <mergeCell ref="AK14:AK15"/>
    <mergeCell ref="AF14:AF15"/>
    <mergeCell ref="AG14:AG15"/>
    <mergeCell ref="AH14:AH15"/>
    <mergeCell ref="AI14:AI15"/>
    <mergeCell ref="AX14:AX15"/>
    <mergeCell ref="AA14:AA15"/>
    <mergeCell ref="AZ183:AZ184"/>
    <mergeCell ref="BA183:BA184"/>
    <mergeCell ref="AY14:AY15"/>
    <mergeCell ref="AZ14:AZ15"/>
    <mergeCell ref="BA14:BA15"/>
    <mergeCell ref="AS183:AS184"/>
    <mergeCell ref="AT183:AT184"/>
    <mergeCell ref="AW183:AW184"/>
    <mergeCell ref="AX183:AX184"/>
    <mergeCell ref="AY183:AY184"/>
    <mergeCell ref="AU183:AU184"/>
    <mergeCell ref="AV183:AV184"/>
    <mergeCell ref="AL14:AL15"/>
    <mergeCell ref="AM14:AM15"/>
    <mergeCell ref="AN14:AN15"/>
    <mergeCell ref="AO14:AO15"/>
    <mergeCell ref="AP14:AP15"/>
    <mergeCell ref="AQ14:AQ15"/>
    <mergeCell ref="AR14:AR15"/>
    <mergeCell ref="AS14:AS15"/>
    <mergeCell ref="AT14:AT15"/>
    <mergeCell ref="AU14:AU15"/>
    <mergeCell ref="AV14:AV15"/>
    <mergeCell ref="AP183:AP184"/>
    <mergeCell ref="AQ183:AQ184"/>
    <mergeCell ref="AR183:AR184"/>
    <mergeCell ref="AK183:AK184"/>
    <mergeCell ref="AL183:AL184"/>
    <mergeCell ref="AM183:AM184"/>
    <mergeCell ref="AN183:AN184"/>
    <mergeCell ref="AO183:AO184"/>
  </mergeCells>
  <conditionalFormatting sqref="R17">
    <cfRule type="cellIs" dxfId="1" priority="1" operator="equal">
      <formula>1</formula>
    </cfRule>
  </conditionalFormatting>
  <conditionalFormatting sqref="T17:AJ181">
    <cfRule type="cellIs" dxfId="0" priority="2" operator="equal">
      <formula>1</formula>
    </cfRule>
  </conditionalFormatting>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2</vt:i4>
      </vt:variant>
      <vt:variant>
        <vt:lpstr>Plages nommées</vt:lpstr>
      </vt:variant>
      <vt:variant>
        <vt:i4>4</vt:i4>
      </vt:variant>
    </vt:vector>
  </HeadingPairs>
  <TitlesOfParts>
    <vt:vector size="6" baseType="lpstr">
      <vt:lpstr>Résultats</vt:lpstr>
      <vt:lpstr>NE PAS TOUCHER  Calcul</vt:lpstr>
      <vt:lpstr>'NE PAS TOUCHER  Calcul'!scoreA1</vt:lpstr>
      <vt:lpstr>'NE PAS TOUCHER  Calcul'!scoreB1</vt:lpstr>
      <vt:lpstr>'NE PAS TOUCHER  Calcul'!scoreC</vt:lpstr>
      <vt:lpstr>'NE PAS TOUCHER  Calcul'!scoreC1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Yousfi Rayan</cp:lastModifiedBy>
  <dcterms:modified xsi:type="dcterms:W3CDTF">2026-03-14T17:18:13Z</dcterms:modified>
</cp:coreProperties>
</file>